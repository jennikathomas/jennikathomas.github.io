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omas\Documents\Jennika\"/>
    </mc:Choice>
  </mc:AlternateContent>
  <bookViews>
    <workbookView xWindow="0" yWindow="0" windowWidth="19170" windowHeight="6840"/>
  </bookViews>
  <sheets>
    <sheet name="Assumptions" sheetId="2" r:id="rId1"/>
    <sheet name="Historical Data" sheetId="3" r:id="rId2"/>
    <sheet name="Country P&amp;L Forecast" sheetId="4" r:id="rId3"/>
    <sheet name="Country BS Forecast" sheetId="5" r:id="rId4"/>
    <sheet name="Country CashFlow Forecast" sheetId="6" r:id="rId5"/>
    <sheet name="Consolidation" sheetId="7" r:id="rId6"/>
    <sheet name="Scenario Analysis" sheetId="10" r:id="rId7"/>
    <sheet name="Sensitivity Table" sheetId="8" r:id="rId8"/>
    <sheet name="Dashboard (Power BI preview)" sheetId="9" r:id="rId9"/>
  </sheets>
  <definedNames>
    <definedName name="_xlnm._FilterDatabase" localSheetId="3" hidden="1">'Country BS Forecast'!$A$1:$J$10</definedName>
    <definedName name="_xlnm._FilterDatabase" localSheetId="4" hidden="1">'Country CashFlow Forecast'!$A$1:$H$10</definedName>
    <definedName name="_xlnm._FilterDatabase" localSheetId="2" hidden="1">'Country P&amp;L Forecast'!$B$1:$M$19</definedName>
    <definedName name="_xlnm._FilterDatabase" localSheetId="1" hidden="1">'Historical Data'!$A$1:$P$10</definedName>
    <definedName name="_xlnm.Print_Area" localSheetId="8">'Dashboard (Power BI preview)'!$A:$O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7" l="1"/>
  <c r="F15" i="8" l="1"/>
  <c r="J5" i="8"/>
  <c r="F10" i="8" s="1"/>
  <c r="I5" i="8"/>
  <c r="E5" i="8" s="1"/>
  <c r="H5" i="8"/>
  <c r="C15" i="8" s="1"/>
  <c r="G5" i="8"/>
  <c r="B10" i="8" s="1"/>
  <c r="I4" i="8"/>
  <c r="E4" i="8" s="1"/>
  <c r="J4" i="8"/>
  <c r="F4" i="8" s="1"/>
  <c r="H4" i="8"/>
  <c r="C4" i="8" s="1"/>
  <c r="G4" i="8"/>
  <c r="B14" i="8" s="1"/>
  <c r="J3" i="8"/>
  <c r="F3" i="8" s="1"/>
  <c r="I3" i="8"/>
  <c r="E3" i="8" s="1"/>
  <c r="H3" i="8"/>
  <c r="C3" i="8" s="1"/>
  <c r="G3" i="8"/>
  <c r="B3" i="8" s="1"/>
  <c r="C23" i="10"/>
  <c r="D23" i="10"/>
  <c r="E23" i="10"/>
  <c r="F23" i="10"/>
  <c r="G23" i="10"/>
  <c r="H23" i="10"/>
  <c r="B23" i="10"/>
  <c r="C15" i="10"/>
  <c r="D15" i="10"/>
  <c r="E15" i="10"/>
  <c r="F15" i="10"/>
  <c r="G15" i="10"/>
  <c r="H15" i="10"/>
  <c r="B15" i="10"/>
  <c r="H21" i="10"/>
  <c r="G21" i="10"/>
  <c r="F21" i="10"/>
  <c r="E21" i="10"/>
  <c r="D21" i="10"/>
  <c r="C21" i="10"/>
  <c r="H20" i="10"/>
  <c r="G20" i="10"/>
  <c r="F20" i="10"/>
  <c r="E20" i="10"/>
  <c r="D20" i="10"/>
  <c r="C20" i="10"/>
  <c r="H19" i="10"/>
  <c r="G19" i="10"/>
  <c r="F19" i="10"/>
  <c r="E19" i="10"/>
  <c r="D19" i="10"/>
  <c r="C19" i="10"/>
  <c r="H18" i="10"/>
  <c r="G18" i="10"/>
  <c r="F18" i="10"/>
  <c r="E18" i="10"/>
  <c r="D18" i="10"/>
  <c r="C18" i="10"/>
  <c r="H11" i="10"/>
  <c r="H12" i="10"/>
  <c r="H13" i="10"/>
  <c r="G11" i="10"/>
  <c r="G12" i="10"/>
  <c r="G13" i="10"/>
  <c r="F11" i="10"/>
  <c r="F12" i="10"/>
  <c r="F13" i="10"/>
  <c r="E11" i="10"/>
  <c r="E12" i="10"/>
  <c r="E13" i="10"/>
  <c r="D11" i="10"/>
  <c r="D12" i="10"/>
  <c r="D13" i="10"/>
  <c r="C11" i="10"/>
  <c r="C12" i="10"/>
  <c r="C13" i="10"/>
  <c r="H10" i="10"/>
  <c r="G10" i="10"/>
  <c r="F10" i="10"/>
  <c r="E10" i="10"/>
  <c r="D10" i="10"/>
  <c r="C10" i="10"/>
  <c r="H4" i="10"/>
  <c r="H5" i="10"/>
  <c r="G4" i="10"/>
  <c r="G5" i="10"/>
  <c r="F4" i="10"/>
  <c r="F5" i="10"/>
  <c r="E4" i="10"/>
  <c r="E5" i="10"/>
  <c r="D4" i="10"/>
  <c r="D5" i="10"/>
  <c r="C4" i="10"/>
  <c r="C5" i="10"/>
  <c r="B6" i="10"/>
  <c r="B5" i="10"/>
  <c r="B4" i="10"/>
  <c r="P4" i="6"/>
  <c r="L9" i="6" s="1"/>
  <c r="P3" i="6"/>
  <c r="K7" i="6" s="1"/>
  <c r="P2" i="6"/>
  <c r="G4" i="7"/>
  <c r="G3" i="7"/>
  <c r="G2" i="7"/>
  <c r="G8" i="6"/>
  <c r="G5" i="6"/>
  <c r="G2" i="6"/>
  <c r="G9" i="5"/>
  <c r="G10" i="5" s="1"/>
  <c r="G8" i="5"/>
  <c r="G6" i="5"/>
  <c r="G7" i="5" s="1"/>
  <c r="G5" i="5"/>
  <c r="G2" i="5"/>
  <c r="G3" i="5" s="1"/>
  <c r="G4" i="5" s="1"/>
  <c r="D2" i="5"/>
  <c r="A3" i="4"/>
  <c r="A4" i="4"/>
  <c r="A5" i="4"/>
  <c r="A6" i="4"/>
  <c r="A7" i="4"/>
  <c r="A8" i="4"/>
  <c r="A9" i="4"/>
  <c r="A10" i="4"/>
  <c r="A2" i="4"/>
  <c r="F8" i="4"/>
  <c r="E8" i="4"/>
  <c r="D9" i="4"/>
  <c r="L9" i="4" s="1"/>
  <c r="D8" i="4"/>
  <c r="L5" i="4"/>
  <c r="L8" i="4"/>
  <c r="F5" i="4"/>
  <c r="E5" i="4"/>
  <c r="F5" i="5" s="1"/>
  <c r="D6" i="4"/>
  <c r="D7" i="4" s="1"/>
  <c r="D5" i="4"/>
  <c r="L2" i="4"/>
  <c r="F2" i="4"/>
  <c r="E2" i="4"/>
  <c r="E2" i="5" s="1"/>
  <c r="D3" i="4"/>
  <c r="D4" i="4" s="1"/>
  <c r="G4" i="6" s="1"/>
  <c r="D2" i="4"/>
  <c r="B5" i="8" l="1"/>
  <c r="E15" i="8"/>
  <c r="C9" i="8"/>
  <c r="B9" i="8"/>
  <c r="B4" i="8"/>
  <c r="C14" i="8"/>
  <c r="C10" i="8"/>
  <c r="F5" i="8"/>
  <c r="E10" i="8"/>
  <c r="C5" i="8"/>
  <c r="B15" i="8"/>
  <c r="E9" i="8"/>
  <c r="E8" i="8"/>
  <c r="E13" i="8"/>
  <c r="F14" i="8"/>
  <c r="B8" i="8"/>
  <c r="C13" i="8"/>
  <c r="C8" i="8"/>
  <c r="F8" i="8"/>
  <c r="F9" i="8"/>
  <c r="F13" i="8"/>
  <c r="B13" i="8"/>
  <c r="E14" i="8"/>
  <c r="M7" i="6"/>
  <c r="M6" i="6"/>
  <c r="K5" i="6"/>
  <c r="M5" i="6"/>
  <c r="K8" i="6"/>
  <c r="K9" i="6"/>
  <c r="L6" i="6"/>
  <c r="M10" i="6"/>
  <c r="L5" i="6"/>
  <c r="K6" i="6"/>
  <c r="L10" i="6"/>
  <c r="K10" i="6"/>
  <c r="L7" i="6"/>
  <c r="M8" i="6"/>
  <c r="M9" i="6"/>
  <c r="L8" i="6"/>
  <c r="M2" i="6"/>
  <c r="M4" i="6"/>
  <c r="D3" i="5"/>
  <c r="F2" i="5"/>
  <c r="G6" i="6"/>
  <c r="G7" i="6"/>
  <c r="F9" i="4"/>
  <c r="D4" i="5"/>
  <c r="F8" i="5"/>
  <c r="G9" i="6"/>
  <c r="E5" i="5"/>
  <c r="E5" i="6" s="1"/>
  <c r="G3" i="6"/>
  <c r="M3" i="6" s="1"/>
  <c r="E8" i="5"/>
  <c r="E8" i="6" s="1"/>
  <c r="L6" i="4"/>
  <c r="D9" i="5"/>
  <c r="D6" i="5"/>
  <c r="D8" i="5"/>
  <c r="D7" i="5"/>
  <c r="D5" i="5"/>
  <c r="E3" i="4"/>
  <c r="F3" i="4"/>
  <c r="G2" i="4"/>
  <c r="I2" i="4" s="1"/>
  <c r="J2" i="4" s="1"/>
  <c r="D10" i="4"/>
  <c r="D10" i="5" s="1"/>
  <c r="G5" i="4"/>
  <c r="E4" i="4"/>
  <c r="F4" i="4"/>
  <c r="L4" i="4"/>
  <c r="L7" i="4"/>
  <c r="F7" i="4"/>
  <c r="E7" i="4"/>
  <c r="E6" i="4"/>
  <c r="F6" i="4"/>
  <c r="L3" i="4"/>
  <c r="E9" i="4"/>
  <c r="G8" i="4"/>
  <c r="M10" i="3"/>
  <c r="M9" i="3"/>
  <c r="M8" i="3"/>
  <c r="L10" i="3"/>
  <c r="L9" i="3"/>
  <c r="L8" i="3"/>
  <c r="K10" i="3"/>
  <c r="K9" i="3"/>
  <c r="K8" i="3"/>
  <c r="F10" i="3"/>
  <c r="H10" i="3" s="1"/>
  <c r="I10" i="3" s="1"/>
  <c r="F9" i="3"/>
  <c r="F8" i="3"/>
  <c r="M7" i="3"/>
  <c r="F5" i="6" s="1"/>
  <c r="M6" i="3"/>
  <c r="M5" i="3"/>
  <c r="L7" i="3"/>
  <c r="L6" i="3"/>
  <c r="L5" i="3"/>
  <c r="K7" i="3"/>
  <c r="K6" i="3"/>
  <c r="K5" i="3"/>
  <c r="F5" i="3"/>
  <c r="F6" i="3"/>
  <c r="H6" i="3" s="1"/>
  <c r="I6" i="3" s="1"/>
  <c r="F7" i="3"/>
  <c r="H7" i="3" s="1"/>
  <c r="M4" i="3"/>
  <c r="M3" i="3"/>
  <c r="M2" i="3"/>
  <c r="L4" i="3"/>
  <c r="E2" i="6" s="1"/>
  <c r="L3" i="3"/>
  <c r="L2" i="3"/>
  <c r="K4" i="3"/>
  <c r="D2" i="6" s="1"/>
  <c r="J2" i="6" s="1"/>
  <c r="K3" i="3"/>
  <c r="K2" i="3"/>
  <c r="F3" i="3"/>
  <c r="H3" i="3" s="1"/>
  <c r="I3" i="3" s="1"/>
  <c r="F4" i="3"/>
  <c r="H4" i="3" s="1"/>
  <c r="I4" i="3" s="1"/>
  <c r="F2" i="3"/>
  <c r="H2" i="3" s="1"/>
  <c r="I2" i="3" s="1"/>
  <c r="B3" i="10" l="1"/>
  <c r="B6" i="7"/>
  <c r="D4" i="6"/>
  <c r="J4" i="6" s="1"/>
  <c r="F2" i="6"/>
  <c r="L2" i="6" s="1"/>
  <c r="F8" i="6"/>
  <c r="K2" i="6"/>
  <c r="B4" i="7" s="1"/>
  <c r="D8" i="6"/>
  <c r="J8" i="6" s="1"/>
  <c r="D5" i="6"/>
  <c r="J5" i="6" s="1"/>
  <c r="C6" i="7"/>
  <c r="D3" i="6"/>
  <c r="J3" i="6" s="1"/>
  <c r="D9" i="6"/>
  <c r="J9" i="6" s="1"/>
  <c r="M2" i="4"/>
  <c r="H2" i="5"/>
  <c r="C2" i="5"/>
  <c r="C2" i="6"/>
  <c r="F4" i="5"/>
  <c r="E4" i="5"/>
  <c r="F6" i="5"/>
  <c r="E6" i="5"/>
  <c r="E6" i="6" s="1"/>
  <c r="E10" i="4"/>
  <c r="G10" i="6"/>
  <c r="D6" i="7" s="1"/>
  <c r="G9" i="4"/>
  <c r="E9" i="5"/>
  <c r="E9" i="6" s="1"/>
  <c r="F9" i="5"/>
  <c r="G7" i="4"/>
  <c r="I7" i="4" s="1"/>
  <c r="J7" i="4" s="1"/>
  <c r="F7" i="5"/>
  <c r="E7" i="5"/>
  <c r="F3" i="5"/>
  <c r="E3" i="5"/>
  <c r="E3" i="6" s="1"/>
  <c r="K3" i="6" s="1"/>
  <c r="D6" i="6"/>
  <c r="J6" i="6" s="1"/>
  <c r="D10" i="6"/>
  <c r="J10" i="6" s="1"/>
  <c r="D7" i="6"/>
  <c r="J7" i="6" s="1"/>
  <c r="I7" i="3"/>
  <c r="H8" i="3"/>
  <c r="I8" i="3" s="1"/>
  <c r="H5" i="3"/>
  <c r="I5" i="3" s="1"/>
  <c r="H9" i="3"/>
  <c r="I9" i="3" s="1"/>
  <c r="G4" i="4"/>
  <c r="I4" i="4" s="1"/>
  <c r="L10" i="4"/>
  <c r="F10" i="4"/>
  <c r="I5" i="4"/>
  <c r="J5" i="4" s="1"/>
  <c r="G3" i="4"/>
  <c r="I3" i="4" s="1"/>
  <c r="J3" i="4" s="1"/>
  <c r="G6" i="4"/>
  <c r="I6" i="4" s="1"/>
  <c r="J6" i="4" s="1"/>
  <c r="I9" i="4"/>
  <c r="J9" i="4" s="1"/>
  <c r="I8" i="4"/>
  <c r="J8" i="4" s="1"/>
  <c r="F3" i="10" l="1"/>
  <c r="C3" i="10"/>
  <c r="H3" i="10"/>
  <c r="E3" i="10"/>
  <c r="D3" i="10"/>
  <c r="G3" i="10"/>
  <c r="B5" i="7"/>
  <c r="D3" i="7"/>
  <c r="F7" i="6"/>
  <c r="B3" i="7"/>
  <c r="C4" i="7"/>
  <c r="C3" i="7"/>
  <c r="I2" i="6"/>
  <c r="E4" i="6"/>
  <c r="K4" i="6" s="1"/>
  <c r="J4" i="4"/>
  <c r="M4" i="4" s="1"/>
  <c r="H2" i="6"/>
  <c r="M7" i="4"/>
  <c r="C7" i="6"/>
  <c r="I7" i="6" s="1"/>
  <c r="M3" i="4"/>
  <c r="C3" i="6"/>
  <c r="I3" i="6" s="1"/>
  <c r="M5" i="4"/>
  <c r="H5" i="5"/>
  <c r="C5" i="6"/>
  <c r="I5" i="6" s="1"/>
  <c r="B2" i="10" s="1"/>
  <c r="C5" i="5"/>
  <c r="F9" i="6"/>
  <c r="E10" i="5"/>
  <c r="E10" i="6" s="1"/>
  <c r="F10" i="5"/>
  <c r="F4" i="6"/>
  <c r="L4" i="6" s="1"/>
  <c r="F3" i="6"/>
  <c r="L3" i="6" s="1"/>
  <c r="M6" i="4"/>
  <c r="C6" i="6"/>
  <c r="C4" i="6"/>
  <c r="I4" i="6" s="1"/>
  <c r="M8" i="4"/>
  <c r="H8" i="5"/>
  <c r="C8" i="5"/>
  <c r="C8" i="6"/>
  <c r="I8" i="6" s="1"/>
  <c r="M9" i="4"/>
  <c r="C9" i="6"/>
  <c r="I9" i="6" s="1"/>
  <c r="E7" i="6"/>
  <c r="C3" i="5"/>
  <c r="I2" i="5"/>
  <c r="G10" i="4"/>
  <c r="I10" i="4" s="1"/>
  <c r="J10" i="4" s="1"/>
  <c r="F6" i="6"/>
  <c r="H3" i="5"/>
  <c r="J2" i="5"/>
  <c r="D2" i="10" l="1"/>
  <c r="D7" i="10" s="1"/>
  <c r="C2" i="10"/>
  <c r="C7" i="10" s="1"/>
  <c r="H2" i="10"/>
  <c r="H7" i="10" s="1"/>
  <c r="B7" i="10"/>
  <c r="G2" i="10"/>
  <c r="G7" i="10" s="1"/>
  <c r="F2" i="10"/>
  <c r="F7" i="10" s="1"/>
  <c r="E2" i="10"/>
  <c r="E7" i="10" s="1"/>
  <c r="D4" i="7"/>
  <c r="H6" i="6"/>
  <c r="I6" i="6"/>
  <c r="C2" i="7" s="1"/>
  <c r="H8" i="6"/>
  <c r="B2" i="7"/>
  <c r="B7" i="7" s="1"/>
  <c r="H7" i="6"/>
  <c r="H4" i="5"/>
  <c r="J4" i="5" s="1"/>
  <c r="J3" i="5"/>
  <c r="H5" i="6"/>
  <c r="H6" i="5"/>
  <c r="J5" i="5"/>
  <c r="H9" i="5"/>
  <c r="J8" i="5"/>
  <c r="C4" i="5"/>
  <c r="I4" i="5" s="1"/>
  <c r="I3" i="5"/>
  <c r="H3" i="6"/>
  <c r="F10" i="6"/>
  <c r="D5" i="7" s="1"/>
  <c r="M10" i="4"/>
  <c r="C10" i="6"/>
  <c r="C9" i="5"/>
  <c r="I8" i="5"/>
  <c r="H4" i="6"/>
  <c r="H9" i="6"/>
  <c r="C6" i="5"/>
  <c r="I5" i="5"/>
  <c r="C7" i="7" l="1"/>
  <c r="H10" i="6"/>
  <c r="I10" i="6"/>
  <c r="D2" i="7" s="1"/>
  <c r="D7" i="7" s="1"/>
  <c r="C10" i="5"/>
  <c r="I10" i="5" s="1"/>
  <c r="I9" i="5"/>
  <c r="C7" i="5"/>
  <c r="I7" i="5" s="1"/>
  <c r="I6" i="5"/>
  <c r="H10" i="5"/>
  <c r="J10" i="5" s="1"/>
  <c r="J9" i="5"/>
  <c r="H7" i="5"/>
  <c r="J7" i="5" s="1"/>
  <c r="J6" i="5"/>
</calcChain>
</file>

<file path=xl/sharedStrings.xml><?xml version="1.0" encoding="utf-8"?>
<sst xmlns="http://schemas.openxmlformats.org/spreadsheetml/2006/main" count="253" uniqueCount="85">
  <si>
    <t>Country</t>
  </si>
  <si>
    <t>Revenue Growth %</t>
  </si>
  <si>
    <t>COGS %</t>
  </si>
  <si>
    <t>OPEX %</t>
  </si>
  <si>
    <t>Tax Rate %</t>
  </si>
  <si>
    <t>FX Rate (to USD)</t>
  </si>
  <si>
    <t>USA</t>
  </si>
  <si>
    <t>Germany</t>
  </si>
  <si>
    <t>India</t>
  </si>
  <si>
    <t>Opening Debt</t>
  </si>
  <si>
    <t>Interest Rate %</t>
  </si>
  <si>
    <t>Principal Repayment FY25</t>
  </si>
  <si>
    <t>Principal Repayment FY26</t>
  </si>
  <si>
    <t>Principal Repayment FY27</t>
  </si>
  <si>
    <t>FY25</t>
  </si>
  <si>
    <t>FY26</t>
  </si>
  <si>
    <t>FY27</t>
  </si>
  <si>
    <t>Metric</t>
  </si>
  <si>
    <t>Value</t>
  </si>
  <si>
    <t>DSO (Days)</t>
  </si>
  <si>
    <t>DPO (Days)</t>
  </si>
  <si>
    <t>Inventory Days</t>
  </si>
  <si>
    <t>Scenario</t>
  </si>
  <si>
    <t>Revenue Adjustment</t>
  </si>
  <si>
    <t>OPEX Adjustment</t>
  </si>
  <si>
    <t>COGS Adjustment</t>
  </si>
  <si>
    <t>Base</t>
  </si>
  <si>
    <t>Optimistic</t>
  </si>
  <si>
    <t>Pessimistic</t>
  </si>
  <si>
    <t>Year</t>
  </si>
  <si>
    <t>Revenue</t>
  </si>
  <si>
    <t>COGS</t>
  </si>
  <si>
    <t>OPEX</t>
  </si>
  <si>
    <t>EBIT</t>
  </si>
  <si>
    <t>Interest</t>
  </si>
  <si>
    <t>Tax</t>
  </si>
  <si>
    <t>Net Income</t>
  </si>
  <si>
    <t>Cash</t>
  </si>
  <si>
    <t>AR</t>
  </si>
  <si>
    <t>Inventory</t>
  </si>
  <si>
    <t>AP</t>
  </si>
  <si>
    <t>Debt</t>
  </si>
  <si>
    <t>Equity</t>
  </si>
  <si>
    <t>FX Rate</t>
  </si>
  <si>
    <t>FY22</t>
  </si>
  <si>
    <t>FY23</t>
  </si>
  <si>
    <t>FY24</t>
  </si>
  <si>
    <t>Revenue (USD)</t>
  </si>
  <si>
    <t>Net Income (USD)</t>
  </si>
  <si>
    <t>Total Assets</t>
  </si>
  <si>
    <t>Key</t>
  </si>
  <si>
    <t>Liabilities + Equity</t>
  </si>
  <si>
    <t>Change in AR</t>
  </si>
  <si>
    <t>Change in Inventory</t>
  </si>
  <si>
    <t>Change in AP</t>
  </si>
  <si>
    <t>CapEx</t>
  </si>
  <si>
    <t>Net Cash Flow</t>
  </si>
  <si>
    <t>CapEx % of Revenue</t>
  </si>
  <si>
    <t>FY25 (USD)</t>
  </si>
  <si>
    <t>FY26 (USD)</t>
  </si>
  <si>
    <t>FY27 (USD)</t>
  </si>
  <si>
    <t>FX_to_USD</t>
  </si>
  <si>
    <t>Net Income FX-Adjusted</t>
  </si>
  <si>
    <t>Change in AR FX-Adjusted</t>
  </si>
  <si>
    <t>Change in Inventory FX-Adjusted</t>
  </si>
  <si>
    <t>Change in AP FX-Adjusted</t>
  </si>
  <si>
    <t>CapEX</t>
  </si>
  <si>
    <t>Revenue Optimistic</t>
  </si>
  <si>
    <t>Opex Optimistic</t>
  </si>
  <si>
    <t>Revenue Pessimistic</t>
  </si>
  <si>
    <t>Opex Pessimistic</t>
  </si>
  <si>
    <t>COGS Pessimistic</t>
  </si>
  <si>
    <t>COGS Optimistic</t>
  </si>
  <si>
    <t>Base FY25</t>
  </si>
  <si>
    <t>Base FY26</t>
  </si>
  <si>
    <t>Base FY27</t>
  </si>
  <si>
    <t xml:space="preserve">Sensitivity Analysis </t>
  </si>
  <si>
    <t>–5%</t>
  </si>
  <si>
    <t>–2%</t>
  </si>
  <si>
    <t>Revenue %</t>
  </si>
  <si>
    <t>FY25 Driver</t>
  </si>
  <si>
    <t>FY26 Driver</t>
  </si>
  <si>
    <t>FY27 Driver</t>
  </si>
  <si>
    <t>Jennika Thomas - Dashboard (Created in Power BI)</t>
  </si>
  <si>
    <t>Dashboard visualization created in Microsoft Power BI. Inserted for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</si>
</sst>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.0_ ;_ * \-#,##0.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 applyBorder="1"/>
    <xf numFmtId="3" fontId="0" fillId="0" borderId="0" xfId="0" applyNumberFormat="1" applyBorder="1"/>
    <xf numFmtId="0" fontId="0" fillId="3" borderId="0" xfId="0" applyFill="1" applyBorder="1"/>
    <xf numFmtId="0" fontId="0" fillId="4" borderId="0" xfId="0" applyFill="1" applyBorder="1"/>
    <xf numFmtId="0" fontId="0" fillId="4" borderId="4" xfId="0" applyFill="1" applyBorder="1"/>
    <xf numFmtId="3" fontId="0" fillId="0" borderId="4" xfId="0" applyNumberFormat="1" applyBorder="1"/>
    <xf numFmtId="0" fontId="2" fillId="0" borderId="9" xfId="0" applyFont="1" applyBorder="1"/>
    <xf numFmtId="0" fontId="0" fillId="0" borderId="9" xfId="0" applyFont="1" applyBorder="1"/>
    <xf numFmtId="0" fontId="2" fillId="0" borderId="0" xfId="0" applyFont="1" applyBorder="1"/>
    <xf numFmtId="43" fontId="0" fillId="0" borderId="0" xfId="0" applyNumberFormat="1"/>
    <xf numFmtId="0" fontId="2" fillId="0" borderId="0" xfId="0" applyFont="1" applyFill="1"/>
    <xf numFmtId="43" fontId="0" fillId="0" borderId="0" xfId="0" applyNumberFormat="1" applyBorder="1"/>
    <xf numFmtId="43" fontId="0" fillId="0" borderId="9" xfId="0" applyNumberFormat="1" applyBorder="1"/>
    <xf numFmtId="43" fontId="0" fillId="0" borderId="10" xfId="0" applyNumberFormat="1" applyBorder="1"/>
    <xf numFmtId="43" fontId="0" fillId="0" borderId="0" xfId="1" applyFont="1" applyBorder="1"/>
    <xf numFmtId="0" fontId="2" fillId="0" borderId="10" xfId="0" applyFont="1" applyBorder="1"/>
    <xf numFmtId="43" fontId="2" fillId="0" borderId="0" xfId="0" applyNumberFormat="1" applyFont="1" applyBorder="1"/>
    <xf numFmtId="43" fontId="0" fillId="0" borderId="0" xfId="0" applyNumberFormat="1" applyFont="1" applyBorder="1"/>
    <xf numFmtId="43" fontId="2" fillId="0" borderId="0" xfId="1" applyFont="1" applyBorder="1"/>
    <xf numFmtId="2" fontId="0" fillId="0" borderId="0" xfId="0" applyNumberFormat="1" applyBorder="1" applyAlignment="1">
      <alignment vertical="center" wrapText="1"/>
    </xf>
    <xf numFmtId="2" fontId="0" fillId="0" borderId="0" xfId="0" applyNumberFormat="1" applyBorder="1"/>
    <xf numFmtId="2" fontId="0" fillId="0" borderId="0" xfId="0" applyNumberFormat="1" applyBorder="1" applyAlignment="1">
      <alignment vertical="center"/>
    </xf>
    <xf numFmtId="2" fontId="0" fillId="0" borderId="18" xfId="0" applyNumberFormat="1" applyBorder="1" applyAlignment="1">
      <alignment vertical="center"/>
    </xf>
    <xf numFmtId="2" fontId="0" fillId="0" borderId="18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9" fontId="2" fillId="0" borderId="23" xfId="2" applyFont="1" applyBorder="1" applyAlignment="1">
      <alignment horizontal="center" vertical="center" wrapText="1"/>
    </xf>
    <xf numFmtId="9" fontId="2" fillId="0" borderId="23" xfId="0" applyNumberFormat="1" applyFont="1" applyBorder="1" applyAlignment="1">
      <alignment horizontal="center" vertical="center" wrapText="1"/>
    </xf>
    <xf numFmtId="9" fontId="2" fillId="0" borderId="10" xfId="0" applyNumberFormat="1" applyFont="1" applyBorder="1" applyAlignment="1">
      <alignment horizontal="center" vertical="center" wrapText="1"/>
    </xf>
    <xf numFmtId="0" fontId="0" fillId="0" borderId="17" xfId="0" applyFont="1" applyBorder="1"/>
    <xf numFmtId="43" fontId="0" fillId="0" borderId="18" xfId="0" applyNumberFormat="1" applyBorder="1"/>
    <xf numFmtId="0" fontId="0" fillId="0" borderId="19" xfId="0" applyFont="1" applyBorder="1"/>
    <xf numFmtId="43" fontId="0" fillId="0" borderId="20" xfId="0" applyNumberFormat="1" applyFont="1" applyBorder="1"/>
    <xf numFmtId="43" fontId="0" fillId="0" borderId="21" xfId="0" applyNumberFormat="1" applyFont="1" applyBorder="1"/>
    <xf numFmtId="0" fontId="0" fillId="0" borderId="18" xfId="0" applyBorder="1"/>
    <xf numFmtId="0" fontId="0" fillId="0" borderId="22" xfId="0" applyFont="1" applyBorder="1"/>
    <xf numFmtId="0" fontId="0" fillId="0" borderId="23" xfId="0" applyBorder="1"/>
    <xf numFmtId="0" fontId="0" fillId="0" borderId="10" xfId="0" applyFill="1" applyBorder="1"/>
    <xf numFmtId="43" fontId="0" fillId="0" borderId="18" xfId="0" applyNumberFormat="1" applyFont="1" applyBorder="1"/>
    <xf numFmtId="0" fontId="0" fillId="0" borderId="23" xfId="0" applyFont="1" applyBorder="1"/>
    <xf numFmtId="0" fontId="0" fillId="0" borderId="10" xfId="0" applyFont="1" applyBorder="1"/>
    <xf numFmtId="0" fontId="0" fillId="2" borderId="17" xfId="0" applyFill="1" applyBorder="1"/>
    <xf numFmtId="0" fontId="0" fillId="3" borderId="17" xfId="0" applyFill="1" applyBorder="1"/>
    <xf numFmtId="0" fontId="0" fillId="4" borderId="17" xfId="0" applyFill="1" applyBorder="1"/>
    <xf numFmtId="0" fontId="0" fillId="4" borderId="19" xfId="0" applyFill="1" applyBorder="1"/>
    <xf numFmtId="0" fontId="0" fillId="0" borderId="20" xfId="0" applyBorder="1"/>
    <xf numFmtId="43" fontId="0" fillId="0" borderId="20" xfId="1" applyFont="1" applyBorder="1"/>
    <xf numFmtId="0" fontId="2" fillId="0" borderId="22" xfId="0" applyFont="1" applyBorder="1"/>
    <xf numFmtId="0" fontId="2" fillId="0" borderId="23" xfId="0" applyFont="1" applyBorder="1"/>
    <xf numFmtId="0" fontId="2" fillId="5" borderId="11" xfId="0" applyFont="1" applyFill="1" applyBorder="1"/>
    <xf numFmtId="0" fontId="2" fillId="5" borderId="12" xfId="0" applyFont="1" applyFill="1" applyBorder="1"/>
    <xf numFmtId="0" fontId="2" fillId="5" borderId="13" xfId="0" applyFont="1" applyFill="1" applyBorder="1"/>
    <xf numFmtId="43" fontId="0" fillId="0" borderId="14" xfId="0" applyNumberFormat="1" applyBorder="1"/>
    <xf numFmtId="43" fontId="0" fillId="0" borderId="16" xfId="0" applyNumberFormat="1" applyBorder="1"/>
    <xf numFmtId="43" fontId="0" fillId="0" borderId="24" xfId="0" applyNumberFormat="1" applyBorder="1"/>
    <xf numFmtId="43" fontId="0" fillId="0" borderId="15" xfId="0" applyNumberFormat="1" applyBorder="1"/>
    <xf numFmtId="43" fontId="0" fillId="0" borderId="25" xfId="0" applyNumberFormat="1" applyBorder="1"/>
    <xf numFmtId="43" fontId="0" fillId="0" borderId="26" xfId="0" applyNumberFormat="1" applyBorder="1"/>
    <xf numFmtId="9" fontId="2" fillId="0" borderId="23" xfId="2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0" fillId="0" borderId="0" xfId="1" applyNumberFormat="1" applyFont="1" applyBorder="1"/>
    <xf numFmtId="164" fontId="0" fillId="0" borderId="2" xfId="1" applyNumberFormat="1" applyFont="1" applyBorder="1"/>
    <xf numFmtId="0" fontId="2" fillId="0" borderId="3" xfId="0" applyFont="1" applyBorder="1" applyAlignment="1">
      <alignment vertical="center" wrapText="1"/>
    </xf>
    <xf numFmtId="164" fontId="0" fillId="0" borderId="4" xfId="1" applyNumberFormat="1" applyFont="1" applyBorder="1"/>
    <xf numFmtId="164" fontId="0" fillId="0" borderId="5" xfId="1" applyNumberFormat="1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 wrapText="1"/>
    </xf>
    <xf numFmtId="9" fontId="2" fillId="0" borderId="7" xfId="0" applyNumberFormat="1" applyFont="1" applyBorder="1" applyAlignment="1">
      <alignment horizontal="center" vertical="center" wrapText="1"/>
    </xf>
    <xf numFmtId="3" fontId="0" fillId="0" borderId="20" xfId="0" applyNumberFormat="1" applyBorder="1"/>
    <xf numFmtId="0" fontId="0" fillId="0" borderId="21" xfId="0" applyBorder="1"/>
    <xf numFmtId="0" fontId="0" fillId="0" borderId="22" xfId="0" applyBorder="1"/>
    <xf numFmtId="0" fontId="0" fillId="0" borderId="1" xfId="0" applyFill="1" applyBorder="1"/>
    <xf numFmtId="0" fontId="0" fillId="0" borderId="3" xfId="0" applyFill="1" applyBorder="1"/>
    <xf numFmtId="0" fontId="0" fillId="2" borderId="9" xfId="0" applyFont="1" applyFill="1" applyBorder="1"/>
    <xf numFmtId="0" fontId="0" fillId="3" borderId="9" xfId="0" applyFont="1" applyFill="1" applyBorder="1"/>
    <xf numFmtId="0" fontId="0" fillId="4" borderId="9" xfId="0" applyFont="1" applyFill="1" applyBorder="1"/>
    <xf numFmtId="0" fontId="0" fillId="6" borderId="0" xfId="0" applyFill="1"/>
    <xf numFmtId="0" fontId="3" fillId="6" borderId="0" xfId="0" applyFont="1" applyFill="1" applyAlignment="1"/>
    <xf numFmtId="0" fontId="4" fillId="6" borderId="0" xfId="0" applyFont="1" applyFill="1"/>
    <xf numFmtId="0" fontId="2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91808</xdr:rowOff>
    </xdr:from>
    <xdr:to>
      <xdr:col>15</xdr:col>
      <xdr:colOff>0</xdr:colOff>
      <xdr:row>31</xdr:row>
      <xdr:rowOff>10702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5347"/>
          <a:ext cx="9150421" cy="5312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F25"/>
  <sheetViews>
    <sheetView tabSelected="1" workbookViewId="0">
      <selection activeCell="F13" sqref="F13"/>
    </sheetView>
  </sheetViews>
  <sheetFormatPr defaultRowHeight="15" x14ac:dyDescent="0.25"/>
  <cols>
    <col min="1" max="1" width="14.28515625" bestFit="1" customWidth="1"/>
    <col min="2" max="2" width="20" bestFit="1" customWidth="1"/>
    <col min="3" max="3" width="16.7109375" bestFit="1" customWidth="1"/>
    <col min="4" max="6" width="24.140625" bestFit="1" customWidth="1"/>
  </cols>
  <sheetData>
    <row r="1" spans="1:6" ht="15.75" thickBot="1" x14ac:dyDescent="0.3">
      <c r="A1" s="8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9" t="s">
        <v>5</v>
      </c>
    </row>
    <row r="2" spans="1:6" x14ac:dyDescent="0.25">
      <c r="A2" s="2" t="s">
        <v>6</v>
      </c>
      <c r="B2" s="3">
        <v>0.05</v>
      </c>
      <c r="C2" s="3">
        <v>0.6</v>
      </c>
      <c r="D2" s="3">
        <v>0.25</v>
      </c>
      <c r="E2" s="3">
        <v>0.21</v>
      </c>
      <c r="F2" s="4">
        <v>1</v>
      </c>
    </row>
    <row r="3" spans="1:6" x14ac:dyDescent="0.25">
      <c r="A3" s="2" t="s">
        <v>7</v>
      </c>
      <c r="B3" s="3">
        <v>0.04</v>
      </c>
      <c r="C3" s="3">
        <v>0.62</v>
      </c>
      <c r="D3" s="3">
        <v>0.27</v>
      </c>
      <c r="E3" s="3">
        <v>0.3</v>
      </c>
      <c r="F3" s="4">
        <v>0.92</v>
      </c>
    </row>
    <row r="4" spans="1:6" ht="15.75" thickBot="1" x14ac:dyDescent="0.3">
      <c r="A4" s="5" t="s">
        <v>8</v>
      </c>
      <c r="B4" s="6">
        <v>0.08</v>
      </c>
      <c r="C4" s="6">
        <v>0.55000000000000004</v>
      </c>
      <c r="D4" s="6">
        <v>0.2</v>
      </c>
      <c r="E4" s="6">
        <v>0.25</v>
      </c>
      <c r="F4" s="7">
        <v>1.2E-2</v>
      </c>
    </row>
    <row r="6" spans="1:6" ht="15.75" thickBot="1" x14ac:dyDescent="0.3"/>
    <row r="7" spans="1:6" ht="15.75" thickBot="1" x14ac:dyDescent="0.3">
      <c r="A7" s="8" t="s">
        <v>0</v>
      </c>
      <c r="B7" s="10" t="s">
        <v>9</v>
      </c>
      <c r="C7" s="10" t="s">
        <v>10</v>
      </c>
      <c r="D7" s="10" t="s">
        <v>11</v>
      </c>
      <c r="E7" s="10" t="s">
        <v>12</v>
      </c>
      <c r="F7" s="9" t="s">
        <v>13</v>
      </c>
    </row>
    <row r="8" spans="1:6" x14ac:dyDescent="0.25">
      <c r="A8" s="2" t="s">
        <v>6</v>
      </c>
      <c r="B8" s="3">
        <v>500000</v>
      </c>
      <c r="C8" s="3">
        <v>0.05</v>
      </c>
      <c r="D8" s="3">
        <v>100000</v>
      </c>
      <c r="E8" s="3">
        <v>150000</v>
      </c>
      <c r="F8" s="4">
        <v>250000</v>
      </c>
    </row>
    <row r="9" spans="1:6" x14ac:dyDescent="0.25">
      <c r="A9" s="2" t="s">
        <v>7</v>
      </c>
      <c r="B9" s="3">
        <v>400000</v>
      </c>
      <c r="C9" s="3">
        <v>4.4999999999999998E-2</v>
      </c>
      <c r="D9" s="3">
        <v>80000</v>
      </c>
      <c r="E9" s="3">
        <v>100000</v>
      </c>
      <c r="F9" s="4">
        <v>220000</v>
      </c>
    </row>
    <row r="10" spans="1:6" ht="15.75" thickBot="1" x14ac:dyDescent="0.3">
      <c r="A10" s="5" t="s">
        <v>8</v>
      </c>
      <c r="B10" s="6">
        <v>1000000</v>
      </c>
      <c r="C10" s="6">
        <v>0.06</v>
      </c>
      <c r="D10" s="6">
        <v>200000</v>
      </c>
      <c r="E10" s="6">
        <v>300000</v>
      </c>
      <c r="F10" s="7">
        <v>400000</v>
      </c>
    </row>
    <row r="11" spans="1:6" ht="15.75" thickBot="1" x14ac:dyDescent="0.3"/>
    <row r="12" spans="1:6" ht="15.75" thickBot="1" x14ac:dyDescent="0.3">
      <c r="A12" s="8" t="s">
        <v>0</v>
      </c>
      <c r="B12" s="10" t="s">
        <v>14</v>
      </c>
      <c r="C12" s="10" t="s">
        <v>15</v>
      </c>
      <c r="D12" s="9" t="s">
        <v>16</v>
      </c>
    </row>
    <row r="13" spans="1:6" x14ac:dyDescent="0.25">
      <c r="A13" s="2" t="s">
        <v>6</v>
      </c>
      <c r="B13" s="3">
        <v>50000</v>
      </c>
      <c r="C13" s="3">
        <v>60000</v>
      </c>
      <c r="D13" s="4">
        <v>70000</v>
      </c>
    </row>
    <row r="14" spans="1:6" x14ac:dyDescent="0.25">
      <c r="A14" s="2" t="s">
        <v>7</v>
      </c>
      <c r="B14" s="3">
        <v>40000</v>
      </c>
      <c r="C14" s="3">
        <v>45000</v>
      </c>
      <c r="D14" s="4">
        <v>50000</v>
      </c>
    </row>
    <row r="15" spans="1:6" ht="15.75" thickBot="1" x14ac:dyDescent="0.3">
      <c r="A15" s="5" t="s">
        <v>8</v>
      </c>
      <c r="B15" s="6">
        <v>70000</v>
      </c>
      <c r="C15" s="6">
        <v>80000</v>
      </c>
      <c r="D15" s="7">
        <v>90000</v>
      </c>
    </row>
    <row r="16" spans="1:6" ht="15.75" thickBot="1" x14ac:dyDescent="0.3"/>
    <row r="17" spans="1:5" ht="15.75" thickBot="1" x14ac:dyDescent="0.3">
      <c r="A17" s="8" t="s">
        <v>17</v>
      </c>
      <c r="B17" s="9" t="s">
        <v>18</v>
      </c>
      <c r="D17" s="8" t="s">
        <v>0</v>
      </c>
      <c r="E17" s="9" t="s">
        <v>57</v>
      </c>
    </row>
    <row r="18" spans="1:5" x14ac:dyDescent="0.25">
      <c r="A18" s="2" t="s">
        <v>19</v>
      </c>
      <c r="B18" s="4">
        <v>45</v>
      </c>
      <c r="D18" s="2" t="s">
        <v>6</v>
      </c>
      <c r="E18" s="4">
        <v>0.08</v>
      </c>
    </row>
    <row r="19" spans="1:5" x14ac:dyDescent="0.25">
      <c r="A19" s="2" t="s">
        <v>20</v>
      </c>
      <c r="B19" s="4">
        <v>30</v>
      </c>
      <c r="D19" s="2" t="s">
        <v>7</v>
      </c>
      <c r="E19" s="4">
        <v>7.0000000000000007E-2</v>
      </c>
    </row>
    <row r="20" spans="1:5" ht="15.75" thickBot="1" x14ac:dyDescent="0.3">
      <c r="A20" s="5" t="s">
        <v>21</v>
      </c>
      <c r="B20" s="7">
        <v>60</v>
      </c>
      <c r="D20" s="5" t="s">
        <v>8</v>
      </c>
      <c r="E20" s="7">
        <v>0.1</v>
      </c>
    </row>
    <row r="21" spans="1:5" ht="15.75" thickBot="1" x14ac:dyDescent="0.3"/>
    <row r="22" spans="1:5" ht="15.75" thickBot="1" x14ac:dyDescent="0.3">
      <c r="A22" s="8" t="s">
        <v>22</v>
      </c>
      <c r="B22" s="10" t="s">
        <v>23</v>
      </c>
      <c r="C22" s="10" t="s">
        <v>24</v>
      </c>
      <c r="D22" s="9" t="s">
        <v>25</v>
      </c>
    </row>
    <row r="23" spans="1:5" x14ac:dyDescent="0.25">
      <c r="A23" s="2" t="s">
        <v>26</v>
      </c>
      <c r="B23" s="3">
        <v>1</v>
      </c>
      <c r="C23" s="3">
        <v>1</v>
      </c>
      <c r="D23" s="4">
        <v>1</v>
      </c>
    </row>
    <row r="24" spans="1:5" x14ac:dyDescent="0.25">
      <c r="A24" s="2" t="s">
        <v>27</v>
      </c>
      <c r="B24" s="3">
        <v>1.05</v>
      </c>
      <c r="C24" s="3">
        <v>0.95</v>
      </c>
      <c r="D24" s="4">
        <v>0.98</v>
      </c>
    </row>
    <row r="25" spans="1:5" ht="15.75" thickBot="1" x14ac:dyDescent="0.3">
      <c r="A25" s="5" t="s">
        <v>28</v>
      </c>
      <c r="B25" s="6">
        <v>0.95</v>
      </c>
      <c r="C25" s="6">
        <v>1.05</v>
      </c>
      <c r="D25" s="7">
        <v>1.02</v>
      </c>
    </row>
  </sheetData>
  <sheetProtection algorithmName="SHA-512" hashValue="LnCh3Z0cbDW4pbXQN+LTOX6UqQptzRDgVzRKw1onKf3lB8sDP2Wu88leF/j5S6V0fSfnMFNtdBnIofFl6hfvrQ==" saltValue="X6N08yupCy2hj7gXlX9Iz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P10"/>
  <sheetViews>
    <sheetView workbookViewId="0">
      <selection activeCell="D15" sqref="D15"/>
    </sheetView>
  </sheetViews>
  <sheetFormatPr defaultRowHeight="15" x14ac:dyDescent="0.25"/>
  <sheetData>
    <row r="1" spans="1:16" x14ac:dyDescent="0.25">
      <c r="A1" s="58" t="s">
        <v>0</v>
      </c>
      <c r="B1" s="59" t="s">
        <v>29</v>
      </c>
      <c r="C1" s="59" t="s">
        <v>30</v>
      </c>
      <c r="D1" s="59" t="s">
        <v>31</v>
      </c>
      <c r="E1" s="59" t="s">
        <v>32</v>
      </c>
      <c r="F1" s="59" t="s">
        <v>33</v>
      </c>
      <c r="G1" s="59" t="s">
        <v>34</v>
      </c>
      <c r="H1" s="59" t="s">
        <v>35</v>
      </c>
      <c r="I1" s="59" t="s">
        <v>36</v>
      </c>
      <c r="J1" s="59" t="s">
        <v>37</v>
      </c>
      <c r="K1" s="59" t="s">
        <v>38</v>
      </c>
      <c r="L1" s="59" t="s">
        <v>39</v>
      </c>
      <c r="M1" s="59" t="s">
        <v>40</v>
      </c>
      <c r="N1" s="59" t="s">
        <v>41</v>
      </c>
      <c r="O1" s="59" t="s">
        <v>42</v>
      </c>
      <c r="P1" s="26" t="s">
        <v>43</v>
      </c>
    </row>
    <row r="2" spans="1:16" x14ac:dyDescent="0.25">
      <c r="A2" s="52" t="s">
        <v>6</v>
      </c>
      <c r="B2" s="3" t="s">
        <v>44</v>
      </c>
      <c r="C2" s="12">
        <v>1000000</v>
      </c>
      <c r="D2" s="12">
        <v>600000</v>
      </c>
      <c r="E2" s="12">
        <v>250000</v>
      </c>
      <c r="F2" s="12">
        <f>C2-D2-E2</f>
        <v>150000</v>
      </c>
      <c r="G2" s="12">
        <v>25000</v>
      </c>
      <c r="H2" s="3">
        <f>F2-G2*0.21</f>
        <v>144750</v>
      </c>
      <c r="I2" s="12">
        <f>F2-G2-H2</f>
        <v>-19750</v>
      </c>
      <c r="J2" s="12">
        <v>200000</v>
      </c>
      <c r="K2" s="3">
        <f>C2/365*45</f>
        <v>123287.6712328767</v>
      </c>
      <c r="L2" s="3">
        <f>D2/365*60</f>
        <v>98630.136986301368</v>
      </c>
      <c r="M2" s="3">
        <f>D2/365*30</f>
        <v>49315.068493150684</v>
      </c>
      <c r="N2" s="12">
        <v>500000</v>
      </c>
      <c r="O2" s="12">
        <v>500000</v>
      </c>
      <c r="P2" s="45">
        <v>1</v>
      </c>
    </row>
    <row r="3" spans="1:16" x14ac:dyDescent="0.25">
      <c r="A3" s="52" t="s">
        <v>6</v>
      </c>
      <c r="B3" s="3" t="s">
        <v>45</v>
      </c>
      <c r="C3" s="12">
        <v>1050000</v>
      </c>
      <c r="D3" s="12">
        <v>630000</v>
      </c>
      <c r="E3" s="12">
        <v>262500</v>
      </c>
      <c r="F3" s="12">
        <f t="shared" ref="F3:F10" si="0">C3-D3-E3</f>
        <v>157500</v>
      </c>
      <c r="G3" s="12">
        <v>25000</v>
      </c>
      <c r="H3" s="3">
        <f t="shared" ref="H3:H4" si="1">F3-G3*0.21</f>
        <v>152250</v>
      </c>
      <c r="I3" s="12">
        <f t="shared" ref="I3:I10" si="2">F3-G3-H3</f>
        <v>-19750</v>
      </c>
      <c r="J3" s="12">
        <v>210000</v>
      </c>
      <c r="K3" s="3">
        <f t="shared" ref="K3:K10" si="3">C3/365*45</f>
        <v>129452.05479452055</v>
      </c>
      <c r="L3" s="3">
        <f t="shared" ref="L3:L10" si="4">D3/365*60</f>
        <v>103561.64383561644</v>
      </c>
      <c r="M3" s="3">
        <f t="shared" ref="M3:M10" si="5">D3/365*30</f>
        <v>51780.821917808222</v>
      </c>
      <c r="N3" s="12">
        <v>500000</v>
      </c>
      <c r="O3" s="12">
        <v>520000</v>
      </c>
      <c r="P3" s="45">
        <v>1</v>
      </c>
    </row>
    <row r="4" spans="1:16" x14ac:dyDescent="0.25">
      <c r="A4" s="52" t="s">
        <v>6</v>
      </c>
      <c r="B4" s="3" t="s">
        <v>46</v>
      </c>
      <c r="C4" s="12">
        <v>1100000</v>
      </c>
      <c r="D4" s="12">
        <v>660000</v>
      </c>
      <c r="E4" s="12">
        <v>275000</v>
      </c>
      <c r="F4" s="12">
        <f t="shared" si="0"/>
        <v>165000</v>
      </c>
      <c r="G4" s="12">
        <v>25000</v>
      </c>
      <c r="H4" s="3">
        <f t="shared" si="1"/>
        <v>159750</v>
      </c>
      <c r="I4" s="12">
        <f t="shared" si="2"/>
        <v>-19750</v>
      </c>
      <c r="J4" s="12">
        <v>220000</v>
      </c>
      <c r="K4" s="3">
        <f t="shared" si="3"/>
        <v>135616.43835616438</v>
      </c>
      <c r="L4" s="3">
        <f t="shared" si="4"/>
        <v>108493.1506849315</v>
      </c>
      <c r="M4" s="3">
        <f t="shared" si="5"/>
        <v>54246.575342465752</v>
      </c>
      <c r="N4" s="12">
        <v>500000</v>
      </c>
      <c r="O4" s="12">
        <v>540000</v>
      </c>
      <c r="P4" s="45">
        <v>1</v>
      </c>
    </row>
    <row r="5" spans="1:16" x14ac:dyDescent="0.25">
      <c r="A5" s="53" t="s">
        <v>7</v>
      </c>
      <c r="B5" s="3" t="s">
        <v>44</v>
      </c>
      <c r="C5" s="12">
        <v>800000</v>
      </c>
      <c r="D5" s="12">
        <v>496000</v>
      </c>
      <c r="E5" s="12">
        <v>216000</v>
      </c>
      <c r="F5" s="12">
        <f t="shared" si="0"/>
        <v>88000</v>
      </c>
      <c r="G5" s="12">
        <v>20000</v>
      </c>
      <c r="H5" s="3">
        <f>F5-G5*0.3</f>
        <v>82000</v>
      </c>
      <c r="I5" s="12">
        <f t="shared" si="2"/>
        <v>-14000</v>
      </c>
      <c r="J5" s="12">
        <v>150000</v>
      </c>
      <c r="K5" s="3">
        <f t="shared" si="3"/>
        <v>98630.136986301368</v>
      </c>
      <c r="L5" s="3">
        <f t="shared" si="4"/>
        <v>81534.246575342462</v>
      </c>
      <c r="M5" s="3">
        <f t="shared" si="5"/>
        <v>40767.123287671231</v>
      </c>
      <c r="N5" s="12">
        <v>400000</v>
      </c>
      <c r="O5" s="12">
        <v>400000</v>
      </c>
      <c r="P5" s="45">
        <v>0.92</v>
      </c>
    </row>
    <row r="6" spans="1:16" x14ac:dyDescent="0.25">
      <c r="A6" s="53" t="s">
        <v>7</v>
      </c>
      <c r="B6" s="3" t="s">
        <v>45</v>
      </c>
      <c r="C6" s="12">
        <v>832000</v>
      </c>
      <c r="D6" s="12">
        <v>515840</v>
      </c>
      <c r="E6" s="12">
        <v>230000</v>
      </c>
      <c r="F6" s="12">
        <f t="shared" si="0"/>
        <v>86160</v>
      </c>
      <c r="G6" s="12">
        <v>20000</v>
      </c>
      <c r="H6" s="3">
        <f t="shared" ref="H6:H7" si="6">F6-G6*0.3</f>
        <v>80160</v>
      </c>
      <c r="I6" s="12">
        <f t="shared" si="2"/>
        <v>-14000</v>
      </c>
      <c r="J6" s="12">
        <v>155000</v>
      </c>
      <c r="K6" s="3">
        <f t="shared" si="3"/>
        <v>102575.34246575342</v>
      </c>
      <c r="L6" s="3">
        <f t="shared" si="4"/>
        <v>84795.61643835617</v>
      </c>
      <c r="M6" s="3">
        <f t="shared" si="5"/>
        <v>42397.808219178085</v>
      </c>
      <c r="N6" s="12">
        <v>400000</v>
      </c>
      <c r="O6" s="12">
        <v>420000</v>
      </c>
      <c r="P6" s="45">
        <v>0.92</v>
      </c>
    </row>
    <row r="7" spans="1:16" x14ac:dyDescent="0.25">
      <c r="A7" s="53" t="s">
        <v>7</v>
      </c>
      <c r="B7" s="3" t="s">
        <v>46</v>
      </c>
      <c r="C7" s="12">
        <v>865000</v>
      </c>
      <c r="D7" s="12">
        <v>536300</v>
      </c>
      <c r="E7" s="12">
        <v>245000</v>
      </c>
      <c r="F7" s="12">
        <f t="shared" si="0"/>
        <v>83700</v>
      </c>
      <c r="G7" s="12">
        <v>20000</v>
      </c>
      <c r="H7" s="3">
        <f t="shared" si="6"/>
        <v>77700</v>
      </c>
      <c r="I7" s="12">
        <f t="shared" si="2"/>
        <v>-14000</v>
      </c>
      <c r="J7" s="12">
        <v>160000</v>
      </c>
      <c r="K7" s="3">
        <f t="shared" si="3"/>
        <v>106643.83561643836</v>
      </c>
      <c r="L7" s="3">
        <f t="shared" si="4"/>
        <v>88158.904109589042</v>
      </c>
      <c r="M7" s="3">
        <f t="shared" si="5"/>
        <v>44079.452054794521</v>
      </c>
      <c r="N7" s="12">
        <v>400000</v>
      </c>
      <c r="O7" s="12">
        <v>440000</v>
      </c>
      <c r="P7" s="45">
        <v>0.92</v>
      </c>
    </row>
    <row r="8" spans="1:16" x14ac:dyDescent="0.25">
      <c r="A8" s="54" t="s">
        <v>8</v>
      </c>
      <c r="B8" s="3" t="s">
        <v>44</v>
      </c>
      <c r="C8" s="12">
        <v>1200000</v>
      </c>
      <c r="D8" s="12">
        <v>660000</v>
      </c>
      <c r="E8" s="12">
        <v>240000</v>
      </c>
      <c r="F8" s="12">
        <f t="shared" si="0"/>
        <v>300000</v>
      </c>
      <c r="G8" s="12">
        <v>30000</v>
      </c>
      <c r="H8" s="3">
        <f>F8-G8*0.25</f>
        <v>292500</v>
      </c>
      <c r="I8" s="12">
        <f t="shared" si="2"/>
        <v>-22500</v>
      </c>
      <c r="J8" s="12">
        <v>250000</v>
      </c>
      <c r="K8" s="3">
        <f t="shared" si="3"/>
        <v>147945.20547945204</v>
      </c>
      <c r="L8" s="3">
        <f t="shared" si="4"/>
        <v>108493.1506849315</v>
      </c>
      <c r="M8" s="3">
        <f t="shared" si="5"/>
        <v>54246.575342465752</v>
      </c>
      <c r="N8" s="12">
        <v>1000000</v>
      </c>
      <c r="O8" s="12">
        <v>500000</v>
      </c>
      <c r="P8" s="45">
        <v>1.2E-2</v>
      </c>
    </row>
    <row r="9" spans="1:16" x14ac:dyDescent="0.25">
      <c r="A9" s="54" t="s">
        <v>8</v>
      </c>
      <c r="B9" s="3" t="s">
        <v>45</v>
      </c>
      <c r="C9" s="12">
        <v>1296000</v>
      </c>
      <c r="D9" s="12">
        <v>712800</v>
      </c>
      <c r="E9" s="12">
        <v>259200</v>
      </c>
      <c r="F9" s="12">
        <f t="shared" si="0"/>
        <v>324000</v>
      </c>
      <c r="G9" s="12">
        <v>30000</v>
      </c>
      <c r="H9" s="3">
        <f t="shared" ref="H9:H10" si="7">F9-G9*0.25</f>
        <v>316500</v>
      </c>
      <c r="I9" s="12">
        <f t="shared" si="2"/>
        <v>-22500</v>
      </c>
      <c r="J9" s="12">
        <v>260000</v>
      </c>
      <c r="K9" s="3">
        <f t="shared" si="3"/>
        <v>159780.82191780821</v>
      </c>
      <c r="L9" s="3">
        <f t="shared" si="4"/>
        <v>117172.60273972602</v>
      </c>
      <c r="M9" s="3">
        <f t="shared" si="5"/>
        <v>58586.301369863009</v>
      </c>
      <c r="N9" s="12">
        <v>1000000</v>
      </c>
      <c r="O9" s="12">
        <v>520000</v>
      </c>
      <c r="P9" s="45">
        <v>1.2E-2</v>
      </c>
    </row>
    <row r="10" spans="1:16" x14ac:dyDescent="0.25">
      <c r="A10" s="55" t="s">
        <v>8</v>
      </c>
      <c r="B10" s="56" t="s">
        <v>46</v>
      </c>
      <c r="C10" s="80">
        <v>1400000</v>
      </c>
      <c r="D10" s="80">
        <v>770000</v>
      </c>
      <c r="E10" s="80">
        <v>280000</v>
      </c>
      <c r="F10" s="80">
        <f t="shared" si="0"/>
        <v>350000</v>
      </c>
      <c r="G10" s="80">
        <v>30000</v>
      </c>
      <c r="H10" s="56">
        <f t="shared" si="7"/>
        <v>342500</v>
      </c>
      <c r="I10" s="80">
        <f t="shared" si="2"/>
        <v>-22500</v>
      </c>
      <c r="J10" s="80">
        <v>270000</v>
      </c>
      <c r="K10" s="56">
        <f t="shared" si="3"/>
        <v>172602.73972602742</v>
      </c>
      <c r="L10" s="56">
        <f t="shared" si="4"/>
        <v>126575.34246575343</v>
      </c>
      <c r="M10" s="56">
        <f t="shared" si="5"/>
        <v>63287.671232876717</v>
      </c>
      <c r="N10" s="80">
        <v>1000000</v>
      </c>
      <c r="O10" s="80">
        <v>540000</v>
      </c>
      <c r="P10" s="81">
        <v>1.2E-2</v>
      </c>
    </row>
  </sheetData>
  <sheetProtection algorithmName="SHA-512" hashValue="jd37tu4qz3eEFpgegY/1Pw8gRXy1Otve8+Pg7QDxXEUcGJ1w0Y6r03Qsl4XpdxA8/r5uE5JCFa7E43dQ8cfBUQ==" saltValue="wQw2VG8rZOhChlNFB2lnDQ==" spinCount="100000" sheet="1" objects="1" scenarios="1"/>
  <autoFilter ref="A1:P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G15" sqref="G15"/>
    </sheetView>
  </sheetViews>
  <sheetFormatPr defaultRowHeight="15" x14ac:dyDescent="0.25"/>
  <cols>
    <col min="1" max="1" width="13.140625" bestFit="1" customWidth="1"/>
    <col min="10" max="10" width="16.85546875" customWidth="1"/>
    <col min="13" max="13" width="16.85546875" bestFit="1" customWidth="1"/>
  </cols>
  <sheetData>
    <row r="1" spans="1:13" x14ac:dyDescent="0.25">
      <c r="A1" s="82" t="s">
        <v>50</v>
      </c>
      <c r="B1" s="59" t="s">
        <v>0</v>
      </c>
      <c r="C1" s="59" t="s">
        <v>29</v>
      </c>
      <c r="D1" s="59" t="s">
        <v>30</v>
      </c>
      <c r="E1" s="59" t="s">
        <v>31</v>
      </c>
      <c r="F1" s="59" t="s">
        <v>32</v>
      </c>
      <c r="G1" s="59" t="s">
        <v>33</v>
      </c>
      <c r="H1" s="59" t="s">
        <v>34</v>
      </c>
      <c r="I1" s="59" t="s">
        <v>35</v>
      </c>
      <c r="J1" s="59" t="s">
        <v>36</v>
      </c>
      <c r="K1" s="59" t="s">
        <v>43</v>
      </c>
      <c r="L1" s="59" t="s">
        <v>47</v>
      </c>
      <c r="M1" s="26" t="s">
        <v>48</v>
      </c>
    </row>
    <row r="2" spans="1:13" x14ac:dyDescent="0.25">
      <c r="A2" s="83" t="str">
        <f>B2&amp;C2</f>
        <v>USAFY25</v>
      </c>
      <c r="B2" s="11" t="s">
        <v>6</v>
      </c>
      <c r="C2" s="3" t="s">
        <v>14</v>
      </c>
      <c r="D2" s="3">
        <f>1100000*1.05</f>
        <v>1155000</v>
      </c>
      <c r="E2" s="3">
        <f>D2*0.6</f>
        <v>693000</v>
      </c>
      <c r="F2" s="3">
        <f>D2*0.25</f>
        <v>288750</v>
      </c>
      <c r="G2" s="3">
        <f>D2-E2-F2</f>
        <v>173250</v>
      </c>
      <c r="H2" s="12">
        <v>25000</v>
      </c>
      <c r="I2" s="3">
        <f>(G2-H2)*0.21</f>
        <v>31132.5</v>
      </c>
      <c r="J2" s="12">
        <f>G2-H2-I2</f>
        <v>117117.5</v>
      </c>
      <c r="K2" s="3">
        <v>1</v>
      </c>
      <c r="L2" s="3">
        <f>D2*K2</f>
        <v>1155000</v>
      </c>
      <c r="M2" s="4">
        <f>J2*K2</f>
        <v>117117.5</v>
      </c>
    </row>
    <row r="3" spans="1:13" x14ac:dyDescent="0.25">
      <c r="A3" s="83" t="str">
        <f t="shared" ref="A3:A10" si="0">B3&amp;C3</f>
        <v>USAFY26</v>
      </c>
      <c r="B3" s="11" t="s">
        <v>6</v>
      </c>
      <c r="C3" s="3" t="s">
        <v>15</v>
      </c>
      <c r="D3" s="3">
        <f>D2*1.05</f>
        <v>1212750</v>
      </c>
      <c r="E3" s="3">
        <f t="shared" ref="E3:E4" si="1">D3*0.6</f>
        <v>727650</v>
      </c>
      <c r="F3" s="3">
        <f t="shared" ref="F3:F4" si="2">D3*0.25</f>
        <v>303187.5</v>
      </c>
      <c r="G3" s="3">
        <f t="shared" ref="G3:G10" si="3">D3-E3-F3</f>
        <v>181912.5</v>
      </c>
      <c r="H3" s="12">
        <v>25000</v>
      </c>
      <c r="I3" s="3">
        <f t="shared" ref="I3:I4" si="4">(G3-H3)*0.21</f>
        <v>32951.625</v>
      </c>
      <c r="J3" s="12">
        <f t="shared" ref="J3:J10" si="5">G3-H3-I3</f>
        <v>123960.875</v>
      </c>
      <c r="K3" s="3">
        <v>1</v>
      </c>
      <c r="L3" s="3">
        <f t="shared" ref="L3:L10" si="6">D3*K3</f>
        <v>1212750</v>
      </c>
      <c r="M3" s="4">
        <f t="shared" ref="M3:M10" si="7">J3*K3</f>
        <v>123960.875</v>
      </c>
    </row>
    <row r="4" spans="1:13" x14ac:dyDescent="0.25">
      <c r="A4" s="83" t="str">
        <f t="shared" si="0"/>
        <v>USAFY27</v>
      </c>
      <c r="B4" s="11" t="s">
        <v>6</v>
      </c>
      <c r="C4" s="3" t="s">
        <v>16</v>
      </c>
      <c r="D4" s="3">
        <f>D3*1.05</f>
        <v>1273387.5</v>
      </c>
      <c r="E4" s="3">
        <f t="shared" si="1"/>
        <v>764032.5</v>
      </c>
      <c r="F4" s="3">
        <f t="shared" si="2"/>
        <v>318346.875</v>
      </c>
      <c r="G4" s="3">
        <f t="shared" si="3"/>
        <v>191008.125</v>
      </c>
      <c r="H4" s="12">
        <v>25000</v>
      </c>
      <c r="I4" s="3">
        <f t="shared" si="4"/>
        <v>34861.706249999996</v>
      </c>
      <c r="J4" s="12">
        <f t="shared" si="5"/>
        <v>131146.41875000001</v>
      </c>
      <c r="K4" s="3">
        <v>1</v>
      </c>
      <c r="L4" s="3">
        <f t="shared" si="6"/>
        <v>1273387.5</v>
      </c>
      <c r="M4" s="4">
        <f t="shared" si="7"/>
        <v>131146.41875000001</v>
      </c>
    </row>
    <row r="5" spans="1:13" x14ac:dyDescent="0.25">
      <c r="A5" s="83" t="str">
        <f t="shared" si="0"/>
        <v>GermanyFY25</v>
      </c>
      <c r="B5" s="13" t="s">
        <v>7</v>
      </c>
      <c r="C5" s="3" t="s">
        <v>14</v>
      </c>
      <c r="D5" s="3">
        <f>865000*1.04</f>
        <v>899600</v>
      </c>
      <c r="E5" s="3">
        <f>D5*0.62</f>
        <v>557752</v>
      </c>
      <c r="F5" s="3">
        <f>D5*0.27</f>
        <v>242892.00000000003</v>
      </c>
      <c r="G5" s="3">
        <f t="shared" si="3"/>
        <v>98955.999999999971</v>
      </c>
      <c r="H5" s="12">
        <v>20000</v>
      </c>
      <c r="I5" s="3">
        <f>(G5-H5)*0.3</f>
        <v>23686.799999999992</v>
      </c>
      <c r="J5" s="12">
        <f t="shared" si="5"/>
        <v>55269.199999999983</v>
      </c>
      <c r="K5" s="3">
        <v>0.92</v>
      </c>
      <c r="L5" s="3">
        <f t="shared" si="6"/>
        <v>827632</v>
      </c>
      <c r="M5" s="4">
        <f t="shared" si="7"/>
        <v>50847.66399999999</v>
      </c>
    </row>
    <row r="6" spans="1:13" x14ac:dyDescent="0.25">
      <c r="A6" s="83" t="str">
        <f t="shared" si="0"/>
        <v>GermanyFY26</v>
      </c>
      <c r="B6" s="13" t="s">
        <v>7</v>
      </c>
      <c r="C6" s="3" t="s">
        <v>15</v>
      </c>
      <c r="D6" s="3">
        <f>D5*1.04</f>
        <v>935584</v>
      </c>
      <c r="E6" s="3">
        <f t="shared" ref="E6:E7" si="8">D6*0.62</f>
        <v>580062.07999999996</v>
      </c>
      <c r="F6" s="3">
        <f t="shared" ref="F6:F7" si="9">D6*0.27</f>
        <v>252607.68000000002</v>
      </c>
      <c r="G6" s="3">
        <f t="shared" si="3"/>
        <v>102914.24000000002</v>
      </c>
      <c r="H6" s="12">
        <v>20000</v>
      </c>
      <c r="I6" s="3">
        <f t="shared" ref="I6:I7" si="10">(G6-H6)*0.3</f>
        <v>24874.272000000004</v>
      </c>
      <c r="J6" s="12">
        <f t="shared" si="5"/>
        <v>58039.968000000015</v>
      </c>
      <c r="K6" s="3">
        <v>0.92</v>
      </c>
      <c r="L6" s="3">
        <f t="shared" si="6"/>
        <v>860737.28</v>
      </c>
      <c r="M6" s="4">
        <f t="shared" si="7"/>
        <v>53396.770560000019</v>
      </c>
    </row>
    <row r="7" spans="1:13" x14ac:dyDescent="0.25">
      <c r="A7" s="83" t="str">
        <f t="shared" si="0"/>
        <v>GermanyFY27</v>
      </c>
      <c r="B7" s="13" t="s">
        <v>7</v>
      </c>
      <c r="C7" s="3" t="s">
        <v>16</v>
      </c>
      <c r="D7" s="3">
        <f>D6*1.04</f>
        <v>973007.35999999999</v>
      </c>
      <c r="E7" s="3">
        <f t="shared" si="8"/>
        <v>603264.56319999998</v>
      </c>
      <c r="F7" s="3">
        <f t="shared" si="9"/>
        <v>262711.98720000003</v>
      </c>
      <c r="G7" s="3">
        <f t="shared" si="3"/>
        <v>107030.80959999998</v>
      </c>
      <c r="H7" s="12">
        <v>20000</v>
      </c>
      <c r="I7" s="3">
        <f t="shared" si="10"/>
        <v>26109.242879999994</v>
      </c>
      <c r="J7" s="12">
        <f t="shared" si="5"/>
        <v>60921.566719999988</v>
      </c>
      <c r="K7" s="3">
        <v>0.92</v>
      </c>
      <c r="L7" s="3">
        <f t="shared" si="6"/>
        <v>895166.77120000008</v>
      </c>
      <c r="M7" s="4">
        <f t="shared" si="7"/>
        <v>56047.841382399994</v>
      </c>
    </row>
    <row r="8" spans="1:13" x14ac:dyDescent="0.25">
      <c r="A8" s="83" t="str">
        <f t="shared" si="0"/>
        <v>IndiaFY25</v>
      </c>
      <c r="B8" s="14" t="s">
        <v>8</v>
      </c>
      <c r="C8" s="3" t="s">
        <v>14</v>
      </c>
      <c r="D8" s="3">
        <f>1400000*1.08</f>
        <v>1512000</v>
      </c>
      <c r="E8" s="3">
        <f>D8*0.55</f>
        <v>831600.00000000012</v>
      </c>
      <c r="F8" s="3">
        <f>D8*0.2</f>
        <v>302400</v>
      </c>
      <c r="G8" s="3">
        <f t="shared" si="3"/>
        <v>377999.99999999988</v>
      </c>
      <c r="H8" s="12">
        <v>30000</v>
      </c>
      <c r="I8" s="3">
        <f>(G8-H8)*0.25</f>
        <v>86999.999999999971</v>
      </c>
      <c r="J8" s="12">
        <f t="shared" si="5"/>
        <v>260999.99999999991</v>
      </c>
      <c r="K8" s="3">
        <v>1.2E-2</v>
      </c>
      <c r="L8" s="3">
        <f t="shared" si="6"/>
        <v>18144</v>
      </c>
      <c r="M8" s="4">
        <f t="shared" si="7"/>
        <v>3131.9999999999991</v>
      </c>
    </row>
    <row r="9" spans="1:13" x14ac:dyDescent="0.25">
      <c r="A9" s="83" t="str">
        <f t="shared" si="0"/>
        <v>IndiaFY26</v>
      </c>
      <c r="B9" s="14" t="s">
        <v>8</v>
      </c>
      <c r="C9" s="3" t="s">
        <v>15</v>
      </c>
      <c r="D9" s="3">
        <f>D8*1.08</f>
        <v>1632960</v>
      </c>
      <c r="E9" s="3">
        <f t="shared" ref="E9:E10" si="11">D9*0.55</f>
        <v>898128.00000000012</v>
      </c>
      <c r="F9" s="3">
        <f t="shared" ref="F9:F10" si="12">D9*0.2</f>
        <v>326592</v>
      </c>
      <c r="G9" s="3">
        <f t="shared" si="3"/>
        <v>408239.99999999988</v>
      </c>
      <c r="H9" s="12">
        <v>30000</v>
      </c>
      <c r="I9" s="3">
        <f t="shared" ref="I9:I10" si="13">(G9-H9)*0.25</f>
        <v>94559.999999999971</v>
      </c>
      <c r="J9" s="12">
        <f t="shared" si="5"/>
        <v>283679.99999999988</v>
      </c>
      <c r="K9" s="3">
        <v>1.2E-2</v>
      </c>
      <c r="L9" s="3">
        <f t="shared" si="6"/>
        <v>19595.52</v>
      </c>
      <c r="M9" s="4">
        <f t="shared" si="7"/>
        <v>3404.1599999999985</v>
      </c>
    </row>
    <row r="10" spans="1:13" ht="15.75" thickBot="1" x14ac:dyDescent="0.3">
      <c r="A10" s="84" t="str">
        <f t="shared" si="0"/>
        <v>IndiaFY27</v>
      </c>
      <c r="B10" s="15" t="s">
        <v>8</v>
      </c>
      <c r="C10" s="6" t="s">
        <v>16</v>
      </c>
      <c r="D10" s="6">
        <f>D9*1.08</f>
        <v>1763596.8</v>
      </c>
      <c r="E10" s="6">
        <f t="shared" si="11"/>
        <v>969978.24000000011</v>
      </c>
      <c r="F10" s="6">
        <f t="shared" si="12"/>
        <v>352719.36000000004</v>
      </c>
      <c r="G10" s="6">
        <f t="shared" si="3"/>
        <v>440899.1999999999</v>
      </c>
      <c r="H10" s="16">
        <v>30000</v>
      </c>
      <c r="I10" s="6">
        <f t="shared" si="13"/>
        <v>102724.79999999997</v>
      </c>
      <c r="J10" s="16">
        <f t="shared" si="5"/>
        <v>308174.39999999991</v>
      </c>
      <c r="K10" s="6">
        <v>1.2E-2</v>
      </c>
      <c r="L10" s="6">
        <f t="shared" si="6"/>
        <v>21163.161599999999</v>
      </c>
      <c r="M10" s="7">
        <f t="shared" si="7"/>
        <v>3698.092799999999</v>
      </c>
    </row>
  </sheetData>
  <sheetProtection algorithmName="SHA-512" hashValue="GuYDdB12gAgosoVO7J/AKitl2LB+InKhcRPOCg2dBmtEeWjNJJzuyO0AJtMcR+ZPoh1rV0cIuNDEL4U+R8h/TA==" saltValue="QHRff8gCbo70mn3GiwiQxA==" spinCount="100000" sheet="1" objects="1" scenarios="1"/>
  <autoFilter ref="B1:M19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A12" sqref="A12"/>
    </sheetView>
  </sheetViews>
  <sheetFormatPr defaultRowHeight="15" x14ac:dyDescent="0.25"/>
  <cols>
    <col min="6" max="6" width="19" bestFit="1" customWidth="1"/>
    <col min="9" max="9" width="11.5703125" bestFit="1" customWidth="1"/>
    <col min="10" max="10" width="17.28515625" bestFit="1" customWidth="1"/>
  </cols>
  <sheetData>
    <row r="1" spans="1:10" x14ac:dyDescent="0.25">
      <c r="A1" s="58" t="s">
        <v>0</v>
      </c>
      <c r="B1" s="59" t="s">
        <v>29</v>
      </c>
      <c r="C1" s="59" t="s">
        <v>37</v>
      </c>
      <c r="D1" s="59" t="s">
        <v>38</v>
      </c>
      <c r="E1" s="59" t="s">
        <v>39</v>
      </c>
      <c r="F1" s="59" t="s">
        <v>40</v>
      </c>
      <c r="G1" s="59" t="s">
        <v>41</v>
      </c>
      <c r="H1" s="59" t="s">
        <v>42</v>
      </c>
      <c r="I1" s="59" t="s">
        <v>49</v>
      </c>
      <c r="J1" s="26" t="s">
        <v>51</v>
      </c>
    </row>
    <row r="2" spans="1:10" x14ac:dyDescent="0.25">
      <c r="A2" s="52" t="s">
        <v>6</v>
      </c>
      <c r="B2" s="3" t="s">
        <v>14</v>
      </c>
      <c r="C2" s="12">
        <f>'Historical Data'!J4+'Country P&amp;L Forecast'!J2-Assumptions!D8</f>
        <v>237117.5</v>
      </c>
      <c r="D2" s="3">
        <f>(VLOOKUP(A2&amp;B2, 'Country P&amp;L Forecast'!A:D, 4, FALSE) / 365) * Assumptions!$B$18</f>
        <v>142397.26027397258</v>
      </c>
      <c r="E2" s="3">
        <f>'Country P&amp;L Forecast'!E2/365*Assumptions!$B$20</f>
        <v>113917.80821917808</v>
      </c>
      <c r="F2" s="3">
        <f>'Country P&amp;L Forecast'!E2/365*Assumptions!$B$19</f>
        <v>56958.904109589042</v>
      </c>
      <c r="G2" s="3">
        <f>Assumptions!B8-Assumptions!D8</f>
        <v>400000</v>
      </c>
      <c r="H2" s="12">
        <f>'Historical Data'!O4+'Country P&amp;L Forecast'!J2</f>
        <v>657117.5</v>
      </c>
      <c r="I2" s="12">
        <f>C2+D2+E2</f>
        <v>493432.56849315064</v>
      </c>
      <c r="J2" s="45">
        <f>SUM(F2:H2)</f>
        <v>1114076.4041095891</v>
      </c>
    </row>
    <row r="3" spans="1:10" x14ac:dyDescent="0.25">
      <c r="A3" s="52" t="s">
        <v>6</v>
      </c>
      <c r="B3" s="3" t="s">
        <v>15</v>
      </c>
      <c r="C3" s="12">
        <f>C2+'Country P&amp;L Forecast'!J3-Assumptions!E8</f>
        <v>211078.375</v>
      </c>
      <c r="D3" s="3">
        <f>(VLOOKUP(A3&amp;B3, 'Country P&amp;L Forecast'!A:D, 4, FALSE) / 365) * Assumptions!$B$18</f>
        <v>149517.12328767122</v>
      </c>
      <c r="E3" s="3">
        <f>'Country P&amp;L Forecast'!E3/365*Assumptions!$B$20</f>
        <v>119613.69863013699</v>
      </c>
      <c r="F3" s="3">
        <f>'Country P&amp;L Forecast'!E3/365*Assumptions!$B$19</f>
        <v>59806.849315068495</v>
      </c>
      <c r="G3" s="3">
        <f>G2-Assumptions!E8</f>
        <v>250000</v>
      </c>
      <c r="H3" s="12">
        <f>H2+'Country P&amp;L Forecast'!J3</f>
        <v>781078.375</v>
      </c>
      <c r="I3" s="12">
        <f t="shared" ref="I3:I10" si="0">C3+D3+E3</f>
        <v>480209.19691780827</v>
      </c>
      <c r="J3" s="45">
        <f t="shared" ref="J3:J10" si="1">SUM(F3:H3)</f>
        <v>1090885.2243150685</v>
      </c>
    </row>
    <row r="4" spans="1:10" x14ac:dyDescent="0.25">
      <c r="A4" s="52" t="s">
        <v>6</v>
      </c>
      <c r="B4" s="3" t="s">
        <v>16</v>
      </c>
      <c r="C4" s="12">
        <f>C3+'Country P&amp;L Forecast'!J4-Assumptions!F8</f>
        <v>92224.793750000012</v>
      </c>
      <c r="D4" s="3">
        <f>(VLOOKUP(A4&amp;B4, 'Country P&amp;L Forecast'!A:D, 4, FALSE) / 365) * Assumptions!$B$18</f>
        <v>156992.97945205477</v>
      </c>
      <c r="E4" s="3">
        <f>'Country P&amp;L Forecast'!E4/365*Assumptions!$B$20</f>
        <v>125594.38356164384</v>
      </c>
      <c r="F4" s="3">
        <f>'Country P&amp;L Forecast'!E4/365*Assumptions!$B$19</f>
        <v>62797.191780821922</v>
      </c>
      <c r="G4" s="3">
        <f>G3-Assumptions!F8</f>
        <v>0</v>
      </c>
      <c r="H4" s="12">
        <f>H3+'Country P&amp;L Forecast'!J4</f>
        <v>912224.79374999995</v>
      </c>
      <c r="I4" s="12">
        <f t="shared" si="0"/>
        <v>374812.15676369861</v>
      </c>
      <c r="J4" s="45">
        <f t="shared" si="1"/>
        <v>975021.98553082184</v>
      </c>
    </row>
    <row r="5" spans="1:10" x14ac:dyDescent="0.25">
      <c r="A5" s="53" t="s">
        <v>7</v>
      </c>
      <c r="B5" s="3" t="s">
        <v>14</v>
      </c>
      <c r="C5" s="12">
        <f>'Historical Data'!J7+'Country P&amp;L Forecast'!J5-Assumptions!D9</f>
        <v>135269.19999999998</v>
      </c>
      <c r="D5" s="3">
        <f>(VLOOKUP(A5&amp;B5, 'Country P&amp;L Forecast'!A:D, 4, FALSE) / 365) * Assumptions!$B$18</f>
        <v>110909.5890410959</v>
      </c>
      <c r="E5" s="3">
        <f>'Country P&amp;L Forecast'!E5/365*Assumptions!$B$20</f>
        <v>91685.260273972614</v>
      </c>
      <c r="F5" s="3">
        <f>'Country P&amp;L Forecast'!E5/365*Assumptions!$B$19</f>
        <v>45842.630136986307</v>
      </c>
      <c r="G5" s="3">
        <f>Assumptions!B9-Assumptions!D9</f>
        <v>320000</v>
      </c>
      <c r="H5" s="12">
        <f>'Historical Data'!O7+'Country P&amp;L Forecast'!J5</f>
        <v>495269.19999999995</v>
      </c>
      <c r="I5" s="12">
        <f t="shared" si="0"/>
        <v>337864.04931506852</v>
      </c>
      <c r="J5" s="45">
        <f t="shared" si="1"/>
        <v>861111.83013698622</v>
      </c>
    </row>
    <row r="6" spans="1:10" x14ac:dyDescent="0.25">
      <c r="A6" s="53" t="s">
        <v>7</v>
      </c>
      <c r="B6" s="3" t="s">
        <v>15</v>
      </c>
      <c r="C6" s="12">
        <f>C5+'Country P&amp;L Forecast'!J6-Assumptions!E9</f>
        <v>93309.168000000005</v>
      </c>
      <c r="D6" s="3">
        <f>(VLOOKUP(A6&amp;B6, 'Country P&amp;L Forecast'!A:D, 4, FALSE) / 365) * Assumptions!$B$18</f>
        <v>115345.97260273973</v>
      </c>
      <c r="E6" s="3">
        <f>'Country P&amp;L Forecast'!E6/365*Assumptions!$B$20</f>
        <v>95352.670684931509</v>
      </c>
      <c r="F6" s="3">
        <f>'Country P&amp;L Forecast'!E6/365*Assumptions!$B$19</f>
        <v>47676.335342465754</v>
      </c>
      <c r="G6" s="3">
        <f>G5-Assumptions!E9</f>
        <v>220000</v>
      </c>
      <c r="H6" s="12">
        <f>H5+'Country P&amp;L Forecast'!J6</f>
        <v>553309.16799999995</v>
      </c>
      <c r="I6" s="12">
        <f t="shared" si="0"/>
        <v>304007.81128767121</v>
      </c>
      <c r="J6" s="45">
        <f t="shared" si="1"/>
        <v>820985.50334246573</v>
      </c>
    </row>
    <row r="7" spans="1:10" x14ac:dyDescent="0.25">
      <c r="A7" s="53" t="s">
        <v>7</v>
      </c>
      <c r="B7" s="3" t="s">
        <v>16</v>
      </c>
      <c r="C7" s="12">
        <f>C6+'Country P&amp;L Forecast'!J7-Assumptions!F9</f>
        <v>-65769.265279999992</v>
      </c>
      <c r="D7" s="3">
        <f>(VLOOKUP(A7&amp;B7, 'Country P&amp;L Forecast'!A:D, 4, FALSE) / 365) * Assumptions!$B$18</f>
        <v>119959.81150684932</v>
      </c>
      <c r="E7" s="3">
        <f>'Country P&amp;L Forecast'!E7/365*Assumptions!$B$20</f>
        <v>99166.777512328757</v>
      </c>
      <c r="F7" s="3">
        <f>'Country P&amp;L Forecast'!E7/365*Assumptions!$B$19</f>
        <v>49583.388756164379</v>
      </c>
      <c r="G7" s="3">
        <f>G6-Assumptions!F9</f>
        <v>0</v>
      </c>
      <c r="H7" s="12">
        <f>H6+'Country P&amp;L Forecast'!J7</f>
        <v>614230.73471999995</v>
      </c>
      <c r="I7" s="12">
        <f t="shared" si="0"/>
        <v>153357.32373917807</v>
      </c>
      <c r="J7" s="45">
        <f t="shared" si="1"/>
        <v>663814.1234761643</v>
      </c>
    </row>
    <row r="8" spans="1:10" x14ac:dyDescent="0.25">
      <c r="A8" s="54" t="s">
        <v>8</v>
      </c>
      <c r="B8" s="3" t="s">
        <v>14</v>
      </c>
      <c r="C8" s="12">
        <f>'Historical Data'!J10+'Country P&amp;L Forecast'!J8-Assumptions!D10</f>
        <v>330999.99999999988</v>
      </c>
      <c r="D8" s="3">
        <f>(VLOOKUP(A8&amp;B8, 'Country P&amp;L Forecast'!A:D, 4, FALSE) / 365) * Assumptions!$B$18</f>
        <v>186410.95890410958</v>
      </c>
      <c r="E8" s="3">
        <f>'Country P&amp;L Forecast'!E8/365*Assumptions!$B$20</f>
        <v>136701.36986301371</v>
      </c>
      <c r="F8" s="3">
        <f>'Country P&amp;L Forecast'!E8/365*Assumptions!$B$19</f>
        <v>68350.684931506854</v>
      </c>
      <c r="G8" s="3">
        <f>Assumptions!B10-Assumptions!D10</f>
        <v>800000</v>
      </c>
      <c r="H8" s="12">
        <f>'Historical Data'!O10+'Country P&amp;L Forecast'!J8</f>
        <v>800999.99999999988</v>
      </c>
      <c r="I8" s="12">
        <f t="shared" si="0"/>
        <v>654112.32876712317</v>
      </c>
      <c r="J8" s="45">
        <f t="shared" si="1"/>
        <v>1669350.6849315069</v>
      </c>
    </row>
    <row r="9" spans="1:10" x14ac:dyDescent="0.25">
      <c r="A9" s="54" t="s">
        <v>8</v>
      </c>
      <c r="B9" s="3" t="s">
        <v>15</v>
      </c>
      <c r="C9" s="12">
        <f>C8+'Country P&amp;L Forecast'!J9-Assumptions!E10</f>
        <v>314679.99999999977</v>
      </c>
      <c r="D9" s="3">
        <f>(VLOOKUP(A9&amp;B9, 'Country P&amp;L Forecast'!A:D, 4, FALSE) / 365) * Assumptions!$B$18</f>
        <v>201323.83561643836</v>
      </c>
      <c r="E9" s="3">
        <f>'Country P&amp;L Forecast'!E9/365*Assumptions!$B$20</f>
        <v>147637.47945205483</v>
      </c>
      <c r="F9" s="3">
        <f>'Country P&amp;L Forecast'!E9/365*Assumptions!$B$19</f>
        <v>73818.739726027416</v>
      </c>
      <c r="G9" s="3">
        <f>G8-Assumptions!E10</f>
        <v>500000</v>
      </c>
      <c r="H9" s="12">
        <f>H8+'Country P&amp;L Forecast'!J9</f>
        <v>1084679.9999999998</v>
      </c>
      <c r="I9" s="12">
        <f t="shared" si="0"/>
        <v>663641.3150684929</v>
      </c>
      <c r="J9" s="45">
        <f t="shared" si="1"/>
        <v>1658498.7397260272</v>
      </c>
    </row>
    <row r="10" spans="1:10" x14ac:dyDescent="0.25">
      <c r="A10" s="55" t="s">
        <v>8</v>
      </c>
      <c r="B10" s="56" t="s">
        <v>16</v>
      </c>
      <c r="C10" s="80">
        <f>C9+'Country P&amp;L Forecast'!J10-Assumptions!F10</f>
        <v>222854.39999999967</v>
      </c>
      <c r="D10" s="56">
        <f>(VLOOKUP(A10&amp;B10, 'Country P&amp;L Forecast'!A:D, 4, FALSE) / 365) * Assumptions!$B$18</f>
        <v>217429.74246575346</v>
      </c>
      <c r="E10" s="56">
        <f>'Country P&amp;L Forecast'!E10/365*Assumptions!$B$20</f>
        <v>159448.47780821918</v>
      </c>
      <c r="F10" s="56">
        <f>'Country P&amp;L Forecast'!E10/365*Assumptions!$B$19</f>
        <v>79724.238904109588</v>
      </c>
      <c r="G10" s="56">
        <f>G9-Assumptions!F10</f>
        <v>100000</v>
      </c>
      <c r="H10" s="80">
        <f>H9+'Country P&amp;L Forecast'!J10</f>
        <v>1392854.3999999997</v>
      </c>
      <c r="I10" s="80">
        <f t="shared" si="0"/>
        <v>599732.62027397228</v>
      </c>
      <c r="J10" s="81">
        <f t="shared" si="1"/>
        <v>1572578.6389041091</v>
      </c>
    </row>
  </sheetData>
  <sheetProtection algorithmName="SHA-512" hashValue="/Ffg4kuv+qknIXWH+a7bNYrnWsfpAgASR/tH9lwenl1oGC9eVZ1+N+3qx24RBSDVspKBzCCjSwRrFLGmBRbHtw==" saltValue="2j8czSjXIHYE4XzfbYzyxQ==" spinCount="100000" sheet="1" objects="1" scenarios="1"/>
  <autoFilter ref="A1:J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A12" sqref="A12"/>
    </sheetView>
  </sheetViews>
  <sheetFormatPr defaultRowHeight="15" x14ac:dyDescent="0.25"/>
  <cols>
    <col min="3" max="3" width="12.140625" bestFit="1" customWidth="1"/>
    <col min="4" max="4" width="12.85546875" customWidth="1"/>
    <col min="5" max="5" width="15.28515625" customWidth="1"/>
    <col min="6" max="6" width="12.5703125" customWidth="1"/>
    <col min="7" max="7" width="11.5703125" bestFit="1" customWidth="1"/>
    <col min="8" max="8" width="13.5703125" bestFit="1" customWidth="1"/>
    <col min="9" max="9" width="11.5703125" bestFit="1" customWidth="1"/>
    <col min="10" max="10" width="13.42578125" customWidth="1"/>
    <col min="11" max="11" width="13.7109375" customWidth="1"/>
    <col min="12" max="12" width="13.140625" customWidth="1"/>
    <col min="13" max="13" width="11.5703125" bestFit="1" customWidth="1"/>
    <col min="14" max="14" width="11.5703125" customWidth="1"/>
    <col min="16" max="16" width="10.7109375" bestFit="1" customWidth="1"/>
  </cols>
  <sheetData>
    <row r="1" spans="1:16" x14ac:dyDescent="0.25">
      <c r="A1" s="58" t="s">
        <v>0</v>
      </c>
      <c r="B1" s="59" t="s">
        <v>29</v>
      </c>
      <c r="C1" s="59" t="s">
        <v>36</v>
      </c>
      <c r="D1" s="59" t="s">
        <v>52</v>
      </c>
      <c r="E1" s="59" t="s">
        <v>53</v>
      </c>
      <c r="F1" s="59" t="s">
        <v>54</v>
      </c>
      <c r="G1" s="59" t="s">
        <v>55</v>
      </c>
      <c r="H1" s="59" t="s">
        <v>56</v>
      </c>
      <c r="I1" s="60" t="s">
        <v>62</v>
      </c>
      <c r="J1" s="61" t="s">
        <v>63</v>
      </c>
      <c r="K1" s="61" t="s">
        <v>64</v>
      </c>
      <c r="L1" s="61" t="s">
        <v>65</v>
      </c>
      <c r="M1" s="62" t="s">
        <v>66</v>
      </c>
      <c r="N1" s="21"/>
      <c r="O1" s="17" t="s">
        <v>0</v>
      </c>
      <c r="P1" s="17" t="s">
        <v>61</v>
      </c>
    </row>
    <row r="2" spans="1:16" x14ac:dyDescent="0.25">
      <c r="A2" s="52" t="s">
        <v>6</v>
      </c>
      <c r="B2" s="3" t="s">
        <v>14</v>
      </c>
      <c r="C2" s="25">
        <f>VLOOKUP(A2&amp;B2,'Country P&amp;L Forecast'!A2:J10,10,FALSE)</f>
        <v>117117.5</v>
      </c>
      <c r="D2" s="25">
        <f>'Country BS Forecast'!D2-'Historical Data'!K4</f>
        <v>6780.8219178082072</v>
      </c>
      <c r="E2" s="25">
        <f>'Country BS Forecast'!E2-'Historical Data'!L4</f>
        <v>5424.6575342465803</v>
      </c>
      <c r="F2" s="25">
        <f>'Country BS Forecast'!F2-'Historical Data'!M4</f>
        <v>2712.3287671232902</v>
      </c>
      <c r="G2" s="25">
        <f>'Country P&amp;L Forecast'!D2*Assumptions!$E$18</f>
        <v>92400</v>
      </c>
      <c r="H2" s="25">
        <f>C2-D2-E2+F2-G2</f>
        <v>15224.34931506851</v>
      </c>
      <c r="I2" s="63">
        <f>C2*$P$2</f>
        <v>117117.5</v>
      </c>
      <c r="J2" s="23">
        <f>D2*$P$2</f>
        <v>6780.8219178082072</v>
      </c>
      <c r="K2" s="23">
        <f t="shared" ref="K2:M4" si="0">E2*$P$2</f>
        <v>5424.6575342465803</v>
      </c>
      <c r="L2" s="23">
        <f t="shared" si="0"/>
        <v>2712.3287671232902</v>
      </c>
      <c r="M2" s="64">
        <f t="shared" si="0"/>
        <v>92400</v>
      </c>
      <c r="N2" s="20"/>
      <c r="O2" s="17" t="s">
        <v>6</v>
      </c>
      <c r="P2" s="17">
        <f>INDEX(Assumptions!$F:$F,MATCH(O2,Assumptions!$A:$A,0))</f>
        <v>1</v>
      </c>
    </row>
    <row r="3" spans="1:16" x14ac:dyDescent="0.25">
      <c r="A3" s="52" t="s">
        <v>6</v>
      </c>
      <c r="B3" s="3" t="s">
        <v>15</v>
      </c>
      <c r="C3" s="25">
        <f>VLOOKUP(A3&amp;B3,'Country P&amp;L Forecast'!A3:J11,10,FALSE)</f>
        <v>123960.875</v>
      </c>
      <c r="D3" s="25">
        <f>'Country BS Forecast'!D3-'Country BS Forecast'!D2</f>
        <v>7119.8630136986321</v>
      </c>
      <c r="E3" s="25">
        <f>'Country BS Forecast'!E3-'Country BS Forecast'!E2</f>
        <v>5695.8904109589057</v>
      </c>
      <c r="F3" s="25">
        <f>'Country BS Forecast'!F3-'Country BS Forecast'!F2</f>
        <v>2847.9452054794529</v>
      </c>
      <c r="G3" s="25">
        <f>'Country P&amp;L Forecast'!D3*Assumptions!$E$18</f>
        <v>97020</v>
      </c>
      <c r="H3" s="25">
        <f t="shared" ref="H3:H10" si="1">C3-D3-E3+F3-G3</f>
        <v>16973.066780821915</v>
      </c>
      <c r="I3" s="63">
        <f>C3*$P$2</f>
        <v>123960.875</v>
      </c>
      <c r="J3" s="23">
        <f t="shared" ref="J3:J4" si="2">D3*$P$2</f>
        <v>7119.8630136986321</v>
      </c>
      <c r="K3" s="23">
        <f t="shared" ref="K3:K4" si="3">E3*$P$2</f>
        <v>5695.8904109589057</v>
      </c>
      <c r="L3" s="23">
        <f t="shared" ref="L3:L4" si="4">F3*$P$2</f>
        <v>2847.9452054794529</v>
      </c>
      <c r="M3" s="64">
        <f t="shared" si="0"/>
        <v>97020</v>
      </c>
      <c r="N3" s="20"/>
      <c r="O3" s="17" t="s">
        <v>7</v>
      </c>
      <c r="P3" s="17">
        <f>INDEX(Assumptions!$F:$F,MATCH(O3,Assumptions!$A:$A,0))</f>
        <v>0.92</v>
      </c>
    </row>
    <row r="4" spans="1:16" x14ac:dyDescent="0.25">
      <c r="A4" s="52" t="s">
        <v>6</v>
      </c>
      <c r="B4" s="3" t="s">
        <v>16</v>
      </c>
      <c r="C4" s="25">
        <f>VLOOKUP(A4&amp;B4,'Country P&amp;L Forecast'!A4:J12,10,FALSE)</f>
        <v>131146.41875000001</v>
      </c>
      <c r="D4" s="25">
        <f>'Country BS Forecast'!D4-'Country BS Forecast'!D3</f>
        <v>7475.8561643835565</v>
      </c>
      <c r="E4" s="25">
        <f>'Country BS Forecast'!E4-'Country BS Forecast'!E3</f>
        <v>5980.6849315068539</v>
      </c>
      <c r="F4" s="25">
        <f>'Country BS Forecast'!F4-'Country BS Forecast'!F3</f>
        <v>2990.3424657534269</v>
      </c>
      <c r="G4" s="25">
        <f>'Country P&amp;L Forecast'!D4*Assumptions!$E$18</f>
        <v>101871</v>
      </c>
      <c r="H4" s="25">
        <f t="shared" si="1"/>
        <v>18809.220119863021</v>
      </c>
      <c r="I4" s="63">
        <f>C4*$P$2</f>
        <v>131146.41875000001</v>
      </c>
      <c r="J4" s="23">
        <f t="shared" si="2"/>
        <v>7475.8561643835565</v>
      </c>
      <c r="K4" s="23">
        <f t="shared" si="3"/>
        <v>5980.6849315068539</v>
      </c>
      <c r="L4" s="23">
        <f t="shared" si="4"/>
        <v>2990.3424657534269</v>
      </c>
      <c r="M4" s="64">
        <f t="shared" si="0"/>
        <v>101871</v>
      </c>
      <c r="N4" s="20"/>
      <c r="O4" s="17" t="s">
        <v>8</v>
      </c>
      <c r="P4" s="17">
        <f>INDEX(Assumptions!$F:$F,MATCH(O4,Assumptions!$A:$A,0))</f>
        <v>1.2E-2</v>
      </c>
    </row>
    <row r="5" spans="1:16" x14ac:dyDescent="0.25">
      <c r="A5" s="53" t="s">
        <v>7</v>
      </c>
      <c r="B5" s="3" t="s">
        <v>14</v>
      </c>
      <c r="C5" s="25">
        <f>VLOOKUP(A5&amp;B5,'Country P&amp;L Forecast'!A5:J13,10,FALSE)</f>
        <v>55269.199999999983</v>
      </c>
      <c r="D5" s="25">
        <f>'Country BS Forecast'!D5-'Historical Data'!K7</f>
        <v>4265.7534246575378</v>
      </c>
      <c r="E5" s="25">
        <f>'Country BS Forecast'!E5-'Historical Data'!L7</f>
        <v>3526.356164383571</v>
      </c>
      <c r="F5" s="25">
        <f>'Country BS Forecast'!F5-'Historical Data'!M7</f>
        <v>1763.1780821917855</v>
      </c>
      <c r="G5" s="25">
        <f>'Country P&amp;L Forecast'!D5*Assumptions!$E$19</f>
        <v>62972.000000000007</v>
      </c>
      <c r="H5" s="25">
        <f t="shared" si="1"/>
        <v>-13731.731506849348</v>
      </c>
      <c r="I5" s="63">
        <f>C5*$P$3</f>
        <v>50847.66399999999</v>
      </c>
      <c r="J5" s="24">
        <f t="shared" ref="J5:M7" si="5">D5*$P$3</f>
        <v>3924.4931506849348</v>
      </c>
      <c r="K5" s="24">
        <f t="shared" si="5"/>
        <v>3244.2476712328853</v>
      </c>
      <c r="L5" s="24">
        <f t="shared" si="5"/>
        <v>1622.1238356164426</v>
      </c>
      <c r="M5" s="65">
        <f t="shared" si="5"/>
        <v>57934.240000000013</v>
      </c>
      <c r="N5" s="20"/>
    </row>
    <row r="6" spans="1:16" x14ac:dyDescent="0.25">
      <c r="A6" s="53" t="s">
        <v>7</v>
      </c>
      <c r="B6" s="3" t="s">
        <v>15</v>
      </c>
      <c r="C6" s="25">
        <f>VLOOKUP(A6&amp;B6,'Country P&amp;L Forecast'!A6:J14,10,FALSE)</f>
        <v>58039.968000000015</v>
      </c>
      <c r="D6" s="25">
        <f>'Country BS Forecast'!D6-'Country BS Forecast'!D5</f>
        <v>4436.38356164383</v>
      </c>
      <c r="E6" s="25">
        <f>'Country BS Forecast'!E6-'Country BS Forecast'!E5</f>
        <v>3667.4104109588952</v>
      </c>
      <c r="F6" s="25">
        <f>'Country BS Forecast'!F6-'Country BS Forecast'!F5</f>
        <v>1833.7052054794476</v>
      </c>
      <c r="G6" s="25">
        <f>'Country P&amp;L Forecast'!D6*Assumptions!$E$19</f>
        <v>65490.880000000005</v>
      </c>
      <c r="H6" s="25">
        <f t="shared" si="1"/>
        <v>-13721.000767123267</v>
      </c>
      <c r="I6" s="63">
        <f>C6*$P$3</f>
        <v>53396.770560000019</v>
      </c>
      <c r="J6" s="24">
        <f t="shared" si="5"/>
        <v>4081.4728767123238</v>
      </c>
      <c r="K6" s="24">
        <f t="shared" si="5"/>
        <v>3374.0175780821837</v>
      </c>
      <c r="L6" s="24">
        <f t="shared" si="5"/>
        <v>1687.0087890410919</v>
      </c>
      <c r="M6" s="65">
        <f t="shared" si="5"/>
        <v>60251.609600000003</v>
      </c>
      <c r="N6" s="20"/>
    </row>
    <row r="7" spans="1:16" x14ac:dyDescent="0.25">
      <c r="A7" s="53" t="s">
        <v>7</v>
      </c>
      <c r="B7" s="3" t="s">
        <v>16</v>
      </c>
      <c r="C7" s="25">
        <f>VLOOKUP(A7&amp;B7,'Country P&amp;L Forecast'!A7:J15,10,FALSE)</f>
        <v>60921.566719999988</v>
      </c>
      <c r="D7" s="25">
        <f>'Country BS Forecast'!D7-'Country BS Forecast'!D6</f>
        <v>4613.8389041095943</v>
      </c>
      <c r="E7" s="25">
        <f>'Country BS Forecast'!E7-'Country BS Forecast'!E6</f>
        <v>3814.1068273972487</v>
      </c>
      <c r="F7" s="25">
        <f>'Country BS Forecast'!F7-'Country BS Forecast'!F6</f>
        <v>1907.0534136986244</v>
      </c>
      <c r="G7" s="25">
        <f>'Country P&amp;L Forecast'!D7*Assumptions!$E$19</f>
        <v>68110.515200000009</v>
      </c>
      <c r="H7" s="25">
        <f t="shared" si="1"/>
        <v>-13709.84079780824</v>
      </c>
      <c r="I7" s="63">
        <f>C7*$P$3</f>
        <v>56047.841382399994</v>
      </c>
      <c r="J7" s="24">
        <f t="shared" si="5"/>
        <v>4244.7317917808268</v>
      </c>
      <c r="K7" s="24">
        <f t="shared" si="5"/>
        <v>3508.9782812054691</v>
      </c>
      <c r="L7" s="24">
        <f t="shared" si="5"/>
        <v>1754.4891406027346</v>
      </c>
      <c r="M7" s="65">
        <f t="shared" si="5"/>
        <v>62661.673984000008</v>
      </c>
      <c r="N7" s="20"/>
    </row>
    <row r="8" spans="1:16" x14ac:dyDescent="0.25">
      <c r="A8" s="54" t="s">
        <v>8</v>
      </c>
      <c r="B8" s="3" t="s">
        <v>14</v>
      </c>
      <c r="C8" s="25">
        <f>VLOOKUP(A8&amp;B8,'Country P&amp;L Forecast'!A8:J16,10,FALSE)</f>
        <v>260999.99999999991</v>
      </c>
      <c r="D8" s="25">
        <f>'Country BS Forecast'!D8-'Historical Data'!K10</f>
        <v>13808.219178082159</v>
      </c>
      <c r="E8" s="25">
        <f>'Country BS Forecast'!E8-'Historical Data'!L10</f>
        <v>10126.027397260274</v>
      </c>
      <c r="F8" s="25">
        <f>'Country BS Forecast'!F8-'Historical Data'!M10</f>
        <v>5063.0136986301368</v>
      </c>
      <c r="G8" s="25">
        <f>'Country P&amp;L Forecast'!D8*Assumptions!$E$20</f>
        <v>151200</v>
      </c>
      <c r="H8" s="25">
        <f t="shared" si="1"/>
        <v>90928.767123287602</v>
      </c>
      <c r="I8" s="63">
        <f>C8*$P$4</f>
        <v>3131.9999999999991</v>
      </c>
      <c r="J8" s="24">
        <f t="shared" ref="J8:M8" si="6">D8*$P$4</f>
        <v>165.69863013698591</v>
      </c>
      <c r="K8" s="24">
        <f t="shared" si="6"/>
        <v>121.51232876712328</v>
      </c>
      <c r="L8" s="24">
        <f t="shared" si="6"/>
        <v>60.756164383561639</v>
      </c>
      <c r="M8" s="65">
        <f t="shared" si="6"/>
        <v>1814.4</v>
      </c>
      <c r="N8" s="20"/>
    </row>
    <row r="9" spans="1:16" x14ac:dyDescent="0.25">
      <c r="A9" s="54" t="s">
        <v>8</v>
      </c>
      <c r="B9" s="3" t="s">
        <v>15</v>
      </c>
      <c r="C9" s="25">
        <f>VLOOKUP(A9&amp;B9,'Country P&amp;L Forecast'!A9:J17,10,FALSE)</f>
        <v>283679.99999999988</v>
      </c>
      <c r="D9" s="25">
        <f>'Country BS Forecast'!D9-'Country BS Forecast'!D8</f>
        <v>14912.876712328783</v>
      </c>
      <c r="E9" s="25">
        <f>'Country BS Forecast'!E9-'Country BS Forecast'!E8</f>
        <v>10936.109589041123</v>
      </c>
      <c r="F9" s="25">
        <f>'Country BS Forecast'!F9-'Country BS Forecast'!F8</f>
        <v>5468.0547945205617</v>
      </c>
      <c r="G9" s="25">
        <f>'Country P&amp;L Forecast'!D9*Assumptions!$E$20</f>
        <v>163296</v>
      </c>
      <c r="H9" s="25">
        <f t="shared" si="1"/>
        <v>100003.06849315058</v>
      </c>
      <c r="I9" s="63">
        <f>C9*$P$4</f>
        <v>3404.1599999999985</v>
      </c>
      <c r="J9" s="24">
        <f t="shared" ref="J9:J10" si="7">D9*$P$4</f>
        <v>178.95452054794541</v>
      </c>
      <c r="K9" s="24">
        <f t="shared" ref="K9:K10" si="8">E9*$P$4</f>
        <v>131.23331506849348</v>
      </c>
      <c r="L9" s="24">
        <f t="shared" ref="L9:L10" si="9">F9*$P$4</f>
        <v>65.616657534246741</v>
      </c>
      <c r="M9" s="65">
        <f t="shared" ref="M9:M10" si="10">G9*$P$4</f>
        <v>1959.5520000000001</v>
      </c>
      <c r="N9" s="20"/>
    </row>
    <row r="10" spans="1:16" ht="15.75" thickBot="1" x14ac:dyDescent="0.3">
      <c r="A10" s="55" t="s">
        <v>8</v>
      </c>
      <c r="B10" s="56" t="s">
        <v>16</v>
      </c>
      <c r="C10" s="57">
        <f>VLOOKUP(A10&amp;B10,'Country P&amp;L Forecast'!A10:J18,10,FALSE)</f>
        <v>308174.39999999991</v>
      </c>
      <c r="D10" s="57">
        <f>'Country BS Forecast'!D10-'Country BS Forecast'!D9</f>
        <v>16105.906849315099</v>
      </c>
      <c r="E10" s="57">
        <f>'Country BS Forecast'!E10-'Country BS Forecast'!E9</f>
        <v>11810.998356164346</v>
      </c>
      <c r="F10" s="57">
        <f>'Country BS Forecast'!F10-'Country BS Forecast'!F9</f>
        <v>5905.4991780821729</v>
      </c>
      <c r="G10" s="57">
        <f>'Country P&amp;L Forecast'!D10*Assumptions!$E$20</f>
        <v>176359.68000000002</v>
      </c>
      <c r="H10" s="57">
        <f t="shared" si="1"/>
        <v>109803.31397260257</v>
      </c>
      <c r="I10" s="66">
        <f>C10*$P$4</f>
        <v>3698.092799999999</v>
      </c>
      <c r="J10" s="67">
        <f t="shared" si="7"/>
        <v>193.2708821917812</v>
      </c>
      <c r="K10" s="67">
        <f t="shared" si="8"/>
        <v>141.73198027397214</v>
      </c>
      <c r="L10" s="67">
        <f t="shared" si="9"/>
        <v>70.865990136986071</v>
      </c>
      <c r="M10" s="68">
        <f t="shared" si="10"/>
        <v>2116.3161600000003</v>
      </c>
      <c r="N10" s="20"/>
    </row>
    <row r="13" spans="1:16" x14ac:dyDescent="0.25">
      <c r="I13" s="20"/>
    </row>
  </sheetData>
  <sheetProtection algorithmName="SHA-512" hashValue="HJAfEwlrG8rXn0n4Mua1cJ9e2P//rpTLqkZMQiU1wHqcOFYA5qr4H9upNc6eZMVx9hJ0VtY16BpaZGu/GeU1jw==" saltValue="zUuDuwIKAqampRHk9vwmUA==" spinCount="100000" sheet="1" objects="1" scenarios="1"/>
  <autoFilter ref="A1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C6" sqref="C6"/>
    </sheetView>
  </sheetViews>
  <sheetFormatPr defaultRowHeight="15" x14ac:dyDescent="0.25"/>
  <cols>
    <col min="1" max="1" width="19" style="1" bestFit="1" customWidth="1"/>
    <col min="2" max="4" width="12.28515625" style="1" bestFit="1" customWidth="1"/>
    <col min="5" max="6" width="9.140625" style="1"/>
    <col min="7" max="7" width="10.5703125" style="1" bestFit="1" customWidth="1"/>
    <col min="8" max="16384" width="9.140625" style="1"/>
  </cols>
  <sheetData>
    <row r="1" spans="1:7" x14ac:dyDescent="0.25">
      <c r="A1" s="46" t="s">
        <v>17</v>
      </c>
      <c r="B1" s="50" t="s">
        <v>58</v>
      </c>
      <c r="C1" s="50" t="s">
        <v>59</v>
      </c>
      <c r="D1" s="51" t="s">
        <v>60</v>
      </c>
      <c r="E1" s="19"/>
      <c r="F1" s="18" t="s">
        <v>0</v>
      </c>
      <c r="G1" s="18" t="s">
        <v>61</v>
      </c>
    </row>
    <row r="2" spans="1:7" x14ac:dyDescent="0.25">
      <c r="A2" s="40" t="s">
        <v>36</v>
      </c>
      <c r="B2" s="28">
        <f>SUM('Country CashFlow Forecast'!I2,'Country CashFlow Forecast'!I5,'Country CashFlow Forecast'!I8)</f>
        <v>171097.16399999999</v>
      </c>
      <c r="C2" s="28">
        <f>SUM('Country CashFlow Forecast'!I3,'Country CashFlow Forecast'!I6,'Country CashFlow Forecast'!I9)</f>
        <v>180761.80556000004</v>
      </c>
      <c r="D2" s="49">
        <f>SUM('Country CashFlow Forecast'!I4,'Country CashFlow Forecast'!I7,'Country CashFlow Forecast'!I10)</f>
        <v>190892.35293240001</v>
      </c>
      <c r="E2" s="19"/>
      <c r="F2" s="85" t="s">
        <v>6</v>
      </c>
      <c r="G2" s="18">
        <f>INDEX(Assumptions!$F:$F,MATCH(F2,Assumptions!$A:$A,0))</f>
        <v>1</v>
      </c>
    </row>
    <row r="3" spans="1:7" x14ac:dyDescent="0.25">
      <c r="A3" s="40" t="s">
        <v>52</v>
      </c>
      <c r="B3" s="28">
        <f>SUM('Country CashFlow Forecast'!J2,'Country CashFlow Forecast'!J5,'Country CashFlow Forecast'!J8)</f>
        <v>10871.013698630128</v>
      </c>
      <c r="C3" s="28">
        <f>SUM('Country CashFlow Forecast'!J3,'Country CashFlow Forecast'!J6,'Country CashFlow Forecast'!J9)</f>
        <v>11380.290410958902</v>
      </c>
      <c r="D3" s="49">
        <f>SUM('Country CashFlow Forecast'!J4,'Country CashFlow Forecast'!J7,'Country CashFlow Forecast'!J10)</f>
        <v>11913.858838356164</v>
      </c>
      <c r="E3" s="19"/>
      <c r="F3" s="86" t="s">
        <v>7</v>
      </c>
      <c r="G3" s="18">
        <f>INDEX(Assumptions!$F:$F,MATCH(F3,Assumptions!$A:$A,0))</f>
        <v>0.92</v>
      </c>
    </row>
    <row r="4" spans="1:7" x14ac:dyDescent="0.25">
      <c r="A4" s="40" t="s">
        <v>53</v>
      </c>
      <c r="B4" s="28">
        <f>SUM('Country CashFlow Forecast'!K2,'Country CashFlow Forecast'!K5,'Country CashFlow Forecast'!K8)</f>
        <v>8790.4175342465896</v>
      </c>
      <c r="C4" s="28">
        <f>SUM('Country CashFlow Forecast'!K3,'Country CashFlow Forecast'!K6,'Country CashFlow Forecast'!K9)</f>
        <v>9201.1413041095839</v>
      </c>
      <c r="D4" s="49">
        <f>SUM('Country CashFlow Forecast'!K4,'Country CashFlow Forecast'!K7,'Country CashFlow Forecast'!K10)</f>
        <v>9631.395192986296</v>
      </c>
      <c r="E4" s="19"/>
      <c r="F4" s="87" t="s">
        <v>8</v>
      </c>
      <c r="G4" s="18">
        <f>INDEX(Assumptions!$F:$F,MATCH(F4,Assumptions!$A:$A,0))</f>
        <v>1.2E-2</v>
      </c>
    </row>
    <row r="5" spans="1:7" x14ac:dyDescent="0.25">
      <c r="A5" s="40" t="s">
        <v>54</v>
      </c>
      <c r="B5" s="28">
        <f>SUM('Country CashFlow Forecast'!L2,'Country CashFlow Forecast'!L5,'Country CashFlow Forecast'!L8)</f>
        <v>4395.2087671232948</v>
      </c>
      <c r="C5" s="28">
        <f>SUM('Country CashFlow Forecast'!L3,'Country CashFlow Forecast'!L6,'Country CashFlow Forecast'!L9)</f>
        <v>4600.5706520547919</v>
      </c>
      <c r="D5" s="49">
        <f>SUM('Country CashFlow Forecast'!L4,'Country CashFlow Forecast'!L7,'Country CashFlow Forecast'!L10)</f>
        <v>4815.697596493148</v>
      </c>
      <c r="E5" s="19"/>
      <c r="F5" s="19"/>
      <c r="G5" s="19"/>
    </row>
    <row r="6" spans="1:7" x14ac:dyDescent="0.25">
      <c r="A6" s="40" t="s">
        <v>55</v>
      </c>
      <c r="B6" s="28">
        <f>SUM('Country CashFlow Forecast'!M2,'Country CashFlow Forecast'!M5,'Country CashFlow Forecast'!M8)</f>
        <v>152148.64000000001</v>
      </c>
      <c r="C6" s="28">
        <f>SUM('Country CashFlow Forecast'!M3,'Country CashFlow Forecast'!M6,'Country CashFlow Forecast'!M9)</f>
        <v>159231.16159999999</v>
      </c>
      <c r="D6" s="49">
        <f>SUM('Country CashFlow Forecast'!M4,'Country CashFlow Forecast'!M7,'Country CashFlow Forecast'!M10)</f>
        <v>166648.99014399998</v>
      </c>
      <c r="E6" s="19"/>
      <c r="F6" s="19"/>
      <c r="G6" s="19"/>
    </row>
    <row r="7" spans="1:7" x14ac:dyDescent="0.25">
      <c r="A7" s="42" t="s">
        <v>56</v>
      </c>
      <c r="B7" s="43">
        <f>B2-B3-B4+B5-B6</f>
        <v>3682.3015342465369</v>
      </c>
      <c r="C7" s="43">
        <f t="shared" ref="C7:D7" si="0">C2-C3-C4+C5-C6</f>
        <v>5549.7828969863476</v>
      </c>
      <c r="D7" s="44">
        <f t="shared" si="0"/>
        <v>7513.8063535507245</v>
      </c>
      <c r="E7" s="19"/>
      <c r="F7" s="19"/>
      <c r="G7" s="19"/>
    </row>
    <row r="8" spans="1:7" x14ac:dyDescent="0.25">
      <c r="E8" s="19"/>
      <c r="F8" s="19"/>
      <c r="G8" s="19"/>
    </row>
    <row r="11" spans="1:7" x14ac:dyDescent="0.25">
      <c r="B11" s="19"/>
      <c r="C11" s="19"/>
      <c r="D11" s="19"/>
    </row>
    <row r="12" spans="1:7" x14ac:dyDescent="0.25">
      <c r="B12" s="27"/>
      <c r="C12" s="27"/>
      <c r="D12" s="27"/>
    </row>
    <row r="13" spans="1:7" x14ac:dyDescent="0.25">
      <c r="B13" s="19"/>
      <c r="C13" s="19"/>
      <c r="D13" s="19"/>
    </row>
    <row r="14" spans="1:7" x14ac:dyDescent="0.25">
      <c r="B14" s="27"/>
      <c r="C14" s="27"/>
      <c r="D14" s="27"/>
    </row>
    <row r="15" spans="1:7" x14ac:dyDescent="0.25">
      <c r="B15" s="19"/>
      <c r="C15" s="19"/>
      <c r="D15" s="19"/>
    </row>
    <row r="16" spans="1:7" x14ac:dyDescent="0.25">
      <c r="B16" s="29"/>
      <c r="C16" s="29"/>
      <c r="D16" s="29"/>
    </row>
    <row r="17" spans="2:4" x14ac:dyDescent="0.25">
      <c r="B17" s="29"/>
      <c r="C17" s="29"/>
      <c r="D17" s="29"/>
    </row>
    <row r="18" spans="2:4" x14ac:dyDescent="0.25">
      <c r="B18" s="29"/>
      <c r="C18" s="29"/>
      <c r="D18" s="29"/>
    </row>
    <row r="19" spans="2:4" x14ac:dyDescent="0.25">
      <c r="B19" s="29"/>
      <c r="C19" s="29"/>
      <c r="D19" s="29"/>
    </row>
    <row r="20" spans="2:4" x14ac:dyDescent="0.25">
      <c r="B20" s="29"/>
      <c r="C20" s="29"/>
      <c r="D20" s="29"/>
    </row>
    <row r="21" spans="2:4" x14ac:dyDescent="0.25">
      <c r="B21" s="29"/>
      <c r="C21" s="29"/>
      <c r="D21" s="29"/>
    </row>
  </sheetData>
  <sheetProtection algorithmName="SHA-512" hashValue="EDFR41lR2GrcwdS2GofKkSInWzTHAmGLFryTYa4fY66n+omqF2k0Igp0aUbQoeRmZqCI7epJxcrzxlNeloCLyQ==" saltValue="2Yn6LhMPlNK0U2Vk5h6XWA==" spinCount="100000"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I13" sqref="I13"/>
    </sheetView>
  </sheetViews>
  <sheetFormatPr defaultRowHeight="15" x14ac:dyDescent="0.25"/>
  <cols>
    <col min="1" max="1" width="19" style="3" bestFit="1" customWidth="1"/>
    <col min="2" max="2" width="11.5703125" style="3" bestFit="1" customWidth="1"/>
    <col min="3" max="3" width="18.7109375" style="3" bestFit="1" customWidth="1"/>
    <col min="4" max="4" width="19.42578125" style="3" bestFit="1" customWidth="1"/>
    <col min="5" max="5" width="15.42578125" style="3" bestFit="1" customWidth="1"/>
    <col min="6" max="6" width="16.140625" style="3" bestFit="1" customWidth="1"/>
    <col min="7" max="7" width="15.5703125" style="3" bestFit="1" customWidth="1"/>
    <col min="8" max="8" width="16.28515625" style="3" bestFit="1" customWidth="1"/>
    <col min="9" max="9" width="9.140625" style="3"/>
    <col min="10" max="10" width="10" style="3" bestFit="1" customWidth="1"/>
    <col min="11" max="12" width="11.5703125" style="3" bestFit="1" customWidth="1"/>
    <col min="13" max="16384" width="9.140625" style="3"/>
  </cols>
  <sheetData>
    <row r="1" spans="1:12" x14ac:dyDescent="0.25">
      <c r="A1" s="46" t="s">
        <v>17</v>
      </c>
      <c r="B1" s="59" t="s">
        <v>73</v>
      </c>
      <c r="C1" s="47" t="s">
        <v>67</v>
      </c>
      <c r="D1" s="47" t="s">
        <v>69</v>
      </c>
      <c r="E1" s="47" t="s">
        <v>68</v>
      </c>
      <c r="F1" s="47" t="s">
        <v>70</v>
      </c>
      <c r="G1" s="47" t="s">
        <v>72</v>
      </c>
      <c r="H1" s="48" t="s">
        <v>71</v>
      </c>
    </row>
    <row r="2" spans="1:12" x14ac:dyDescent="0.25">
      <c r="A2" s="40" t="s">
        <v>36</v>
      </c>
      <c r="B2" s="28">
        <f>SUM('Country CashFlow Forecast'!I2,'Country CashFlow Forecast'!I5,'Country CashFlow Forecast'!I8)</f>
        <v>171097.16399999999</v>
      </c>
      <c r="C2" s="22">
        <f>B2*Assumptions!$B$24</f>
        <v>179652.02220000001</v>
      </c>
      <c r="D2" s="22">
        <f>B2*Assumptions!$B$25</f>
        <v>162542.30579999997</v>
      </c>
      <c r="E2" s="22">
        <f>B2*Assumptions!$C$24</f>
        <v>162542.30579999997</v>
      </c>
      <c r="F2" s="22">
        <f>B2*Assumptions!$C$25</f>
        <v>179652.02220000001</v>
      </c>
      <c r="G2" s="22">
        <f>B2*Assumptions!$D$24</f>
        <v>167675.22071999998</v>
      </c>
      <c r="H2" s="41">
        <f>B2*Assumptions!$D$25</f>
        <v>174519.10728</v>
      </c>
    </row>
    <row r="3" spans="1:12" x14ac:dyDescent="0.25">
      <c r="A3" s="40" t="s">
        <v>52</v>
      </c>
      <c r="B3" s="28">
        <f>SUM('Country CashFlow Forecast'!J2,'Country CashFlow Forecast'!J5,'Country CashFlow Forecast'!J8)</f>
        <v>10871.013698630128</v>
      </c>
      <c r="C3" s="22">
        <f>B3*Assumptions!$B$24</f>
        <v>11414.564383561634</v>
      </c>
      <c r="D3" s="22">
        <f>B3*Assumptions!$B$25</f>
        <v>10327.463013698622</v>
      </c>
      <c r="E3" s="22">
        <f>B3*Assumptions!$C$24</f>
        <v>10327.463013698622</v>
      </c>
      <c r="F3" s="22">
        <f>B3*Assumptions!$C$25</f>
        <v>11414.564383561634</v>
      </c>
      <c r="G3" s="22">
        <f>B3*Assumptions!$D$24</f>
        <v>10653.593424657525</v>
      </c>
      <c r="H3" s="41">
        <f>B3*Assumptions!$D$25</f>
        <v>11088.43397260273</v>
      </c>
    </row>
    <row r="4" spans="1:12" x14ac:dyDescent="0.25">
      <c r="A4" s="40" t="s">
        <v>53</v>
      </c>
      <c r="B4" s="28">
        <f>SUM('Country CashFlow Forecast'!K2,'Country CashFlow Forecast'!K5,'Country CashFlow Forecast'!K8)</f>
        <v>8790.4175342465896</v>
      </c>
      <c r="C4" s="22">
        <f>B4*Assumptions!$B$24</f>
        <v>9229.9384109589191</v>
      </c>
      <c r="D4" s="22">
        <f>B4*Assumptions!$B$25</f>
        <v>8350.8966575342602</v>
      </c>
      <c r="E4" s="22">
        <f>B4*Assumptions!$C$24</f>
        <v>8350.8966575342602</v>
      </c>
      <c r="F4" s="22">
        <f>B4*Assumptions!$C$25</f>
        <v>9229.9384109589191</v>
      </c>
      <c r="G4" s="22">
        <f>B4*Assumptions!$D$24</f>
        <v>8614.6091835616571</v>
      </c>
      <c r="H4" s="41">
        <f>B4*Assumptions!$D$25</f>
        <v>8966.2258849315222</v>
      </c>
    </row>
    <row r="5" spans="1:12" x14ac:dyDescent="0.25">
      <c r="A5" s="40" t="s">
        <v>54</v>
      </c>
      <c r="B5" s="28">
        <f>SUM('Country CashFlow Forecast'!L2,'Country CashFlow Forecast'!L5,'Country CashFlow Forecast'!L8)</f>
        <v>4395.2087671232948</v>
      </c>
      <c r="C5" s="22">
        <f>B5*Assumptions!$B$24</f>
        <v>4614.9692054794596</v>
      </c>
      <c r="D5" s="22">
        <f>B5*Assumptions!$B$25</f>
        <v>4175.4483287671301</v>
      </c>
      <c r="E5" s="22">
        <f>B5*Assumptions!$C$24</f>
        <v>4175.4483287671301</v>
      </c>
      <c r="F5" s="22">
        <f>B5*Assumptions!$C$25</f>
        <v>4614.9692054794596</v>
      </c>
      <c r="G5" s="22">
        <f>B5*Assumptions!$D$24</f>
        <v>4307.3045917808286</v>
      </c>
      <c r="H5" s="41">
        <f>B5*Assumptions!$D$25</f>
        <v>4483.1129424657611</v>
      </c>
    </row>
    <row r="6" spans="1:12" x14ac:dyDescent="0.25">
      <c r="A6" s="40" t="s">
        <v>55</v>
      </c>
      <c r="B6" s="28">
        <f>SUM('Country CashFlow Forecast'!M2,'Country CashFlow Forecast'!M5,'Country CashFlow Forecast'!M8)</f>
        <v>152148.64000000001</v>
      </c>
      <c r="C6" s="22">
        <v>152148.64000000001</v>
      </c>
      <c r="D6" s="22">
        <v>152148.64000000001</v>
      </c>
      <c r="E6" s="22">
        <v>152148.64000000001</v>
      </c>
      <c r="F6" s="22">
        <v>152148.64000000001</v>
      </c>
      <c r="G6" s="22">
        <v>152148.64000000001</v>
      </c>
      <c r="H6" s="41">
        <v>152148.64000000001</v>
      </c>
      <c r="J6" s="22"/>
      <c r="K6" s="22"/>
      <c r="L6" s="22"/>
    </row>
    <row r="7" spans="1:12" x14ac:dyDescent="0.25">
      <c r="A7" s="42" t="s">
        <v>56</v>
      </c>
      <c r="B7" s="43">
        <f>B2-B3-B4+B5-B6</f>
        <v>3682.3015342465369</v>
      </c>
      <c r="C7" s="43">
        <f t="shared" ref="C7:H7" si="0">C2-C3-C4+C5-C6</f>
        <v>11473.848610958899</v>
      </c>
      <c r="D7" s="43">
        <f t="shared" si="0"/>
        <v>-4109.2455424657965</v>
      </c>
      <c r="E7" s="43">
        <f t="shared" si="0"/>
        <v>-4109.2455424657965</v>
      </c>
      <c r="F7" s="43">
        <f t="shared" si="0"/>
        <v>11473.848610958899</v>
      </c>
      <c r="G7" s="43">
        <f t="shared" si="0"/>
        <v>565.6827035615861</v>
      </c>
      <c r="H7" s="44">
        <f t="shared" si="0"/>
        <v>6798.9203649314877</v>
      </c>
      <c r="J7" s="22"/>
      <c r="K7" s="22"/>
      <c r="L7" s="22"/>
    </row>
    <row r="9" spans="1:12" x14ac:dyDescent="0.25">
      <c r="A9" s="46" t="s">
        <v>17</v>
      </c>
      <c r="B9" s="59" t="s">
        <v>74</v>
      </c>
      <c r="C9" s="47" t="s">
        <v>67</v>
      </c>
      <c r="D9" s="47" t="s">
        <v>69</v>
      </c>
      <c r="E9" s="47" t="s">
        <v>68</v>
      </c>
      <c r="F9" s="47" t="s">
        <v>70</v>
      </c>
      <c r="G9" s="47" t="s">
        <v>72</v>
      </c>
      <c r="H9" s="48" t="s">
        <v>71</v>
      </c>
    </row>
    <row r="10" spans="1:12" x14ac:dyDescent="0.25">
      <c r="A10" s="40" t="s">
        <v>36</v>
      </c>
      <c r="B10" s="3">
        <v>180761.80556000004</v>
      </c>
      <c r="C10" s="22">
        <f>B10*Assumptions!$B$24</f>
        <v>189799.89583800005</v>
      </c>
      <c r="D10" s="22">
        <f>B10*Assumptions!$B$25</f>
        <v>171723.71528200002</v>
      </c>
      <c r="E10" s="22">
        <f>B10*Assumptions!$C$24</f>
        <v>171723.71528200002</v>
      </c>
      <c r="F10" s="22">
        <f>B10*Assumptions!$C$25</f>
        <v>189799.89583800005</v>
      </c>
      <c r="G10" s="22">
        <f>B10*Assumptions!$D$24</f>
        <v>177146.56944880003</v>
      </c>
      <c r="H10" s="41">
        <f>B10*Assumptions!$D$25</f>
        <v>184377.04167120004</v>
      </c>
    </row>
    <row r="11" spans="1:12" x14ac:dyDescent="0.25">
      <c r="A11" s="40" t="s">
        <v>52</v>
      </c>
      <c r="B11" s="3">
        <v>11380.290410958902</v>
      </c>
      <c r="C11" s="22">
        <f>B11*Assumptions!$B$24</f>
        <v>11949.304931506847</v>
      </c>
      <c r="D11" s="22">
        <f>B11*Assumptions!$B$25</f>
        <v>10811.275890410956</v>
      </c>
      <c r="E11" s="22">
        <f>B11*Assumptions!$C$24</f>
        <v>10811.275890410956</v>
      </c>
      <c r="F11" s="22">
        <f>B11*Assumptions!$C$25</f>
        <v>11949.304931506847</v>
      </c>
      <c r="G11" s="22">
        <f>B11*Assumptions!$D$24</f>
        <v>11152.684602739724</v>
      </c>
      <c r="H11" s="41">
        <f>B11*Assumptions!$D$25</f>
        <v>11607.896219178079</v>
      </c>
    </row>
    <row r="12" spans="1:12" x14ac:dyDescent="0.25">
      <c r="A12" s="40" t="s">
        <v>53</v>
      </c>
      <c r="B12" s="3">
        <v>9201.1413041095839</v>
      </c>
      <c r="C12" s="22">
        <f>B12*Assumptions!$B$24</f>
        <v>9661.1983693150632</v>
      </c>
      <c r="D12" s="22">
        <f>B12*Assumptions!$B$25</f>
        <v>8741.0842389041045</v>
      </c>
      <c r="E12" s="22">
        <f>B12*Assumptions!$C$24</f>
        <v>8741.0842389041045</v>
      </c>
      <c r="F12" s="22">
        <f>B12*Assumptions!$C$25</f>
        <v>9661.1983693150632</v>
      </c>
      <c r="G12" s="22">
        <f>B12*Assumptions!$D$24</f>
        <v>9017.1184780273925</v>
      </c>
      <c r="H12" s="41">
        <f>B12*Assumptions!$D$25</f>
        <v>9385.1641301917753</v>
      </c>
    </row>
    <row r="13" spans="1:12" x14ac:dyDescent="0.25">
      <c r="A13" s="40" t="s">
        <v>54</v>
      </c>
      <c r="B13" s="3">
        <v>4600.5706520547919</v>
      </c>
      <c r="C13" s="22">
        <f>B13*Assumptions!$B$24</f>
        <v>4830.5991846575316</v>
      </c>
      <c r="D13" s="22">
        <f>B13*Assumptions!$B$25</f>
        <v>4370.5421194520522</v>
      </c>
      <c r="E13" s="22">
        <f>B13*Assumptions!$C$24</f>
        <v>4370.5421194520522</v>
      </c>
      <c r="F13" s="22">
        <f>B13*Assumptions!$C$25</f>
        <v>4830.5991846575316</v>
      </c>
      <c r="G13" s="22">
        <f>B13*Assumptions!$D$24</f>
        <v>4508.5592390136962</v>
      </c>
      <c r="H13" s="41">
        <f>B13*Assumptions!$D$25</f>
        <v>4692.5820650958876</v>
      </c>
    </row>
    <row r="14" spans="1:12" x14ac:dyDescent="0.25">
      <c r="A14" s="40" t="s">
        <v>55</v>
      </c>
      <c r="B14" s="3">
        <v>159231.16159999999</v>
      </c>
      <c r="C14" s="3">
        <v>159231.16159999999</v>
      </c>
      <c r="D14" s="3">
        <v>159231.16159999999</v>
      </c>
      <c r="E14" s="3">
        <v>159231.16159999999</v>
      </c>
      <c r="F14" s="3">
        <v>159231.16159999999</v>
      </c>
      <c r="G14" s="3">
        <v>159231.16159999999</v>
      </c>
      <c r="H14" s="45">
        <v>159231.16159999999</v>
      </c>
    </row>
    <row r="15" spans="1:12" x14ac:dyDescent="0.25">
      <c r="A15" s="42" t="s">
        <v>56</v>
      </c>
      <c r="B15" s="43">
        <f>B10-B11-B12+B13-B14</f>
        <v>5549.7828969863476</v>
      </c>
      <c r="C15" s="43">
        <f t="shared" ref="C15:H15" si="1">C10-C11-C12+C13-C14</f>
        <v>13788.830121835694</v>
      </c>
      <c r="D15" s="43">
        <f t="shared" si="1"/>
        <v>-2689.2643278629694</v>
      </c>
      <c r="E15" s="43">
        <f t="shared" si="1"/>
        <v>-2689.2643278629694</v>
      </c>
      <c r="F15" s="43">
        <f t="shared" si="1"/>
        <v>13788.830121835694</v>
      </c>
      <c r="G15" s="43">
        <f t="shared" si="1"/>
        <v>2254.1640070466092</v>
      </c>
      <c r="H15" s="44">
        <f t="shared" si="1"/>
        <v>8845.4017869260861</v>
      </c>
    </row>
    <row r="17" spans="1:8" x14ac:dyDescent="0.25">
      <c r="A17" s="46" t="s">
        <v>17</v>
      </c>
      <c r="B17" s="59" t="s">
        <v>75</v>
      </c>
      <c r="C17" s="47" t="s">
        <v>67</v>
      </c>
      <c r="D17" s="47" t="s">
        <v>69</v>
      </c>
      <c r="E17" s="47" t="s">
        <v>68</v>
      </c>
      <c r="F17" s="47" t="s">
        <v>70</v>
      </c>
      <c r="G17" s="47" t="s">
        <v>72</v>
      </c>
      <c r="H17" s="48" t="s">
        <v>71</v>
      </c>
    </row>
    <row r="18" spans="1:8" x14ac:dyDescent="0.25">
      <c r="A18" s="40" t="s">
        <v>36</v>
      </c>
      <c r="B18" s="3">
        <v>190892.35293240001</v>
      </c>
      <c r="C18" s="22">
        <f>B18*Assumptions!$B$24</f>
        <v>200436.97057902001</v>
      </c>
      <c r="D18" s="22">
        <f>B18*Assumptions!$B$25</f>
        <v>181347.73528578001</v>
      </c>
      <c r="E18" s="22">
        <f>B18*Assumptions!$C$24</f>
        <v>181347.73528578001</v>
      </c>
      <c r="F18" s="22">
        <f>B18*Assumptions!$C$25</f>
        <v>200436.97057902001</v>
      </c>
      <c r="G18" s="22">
        <f>B18*Assumptions!$D$24</f>
        <v>187074.505873752</v>
      </c>
      <c r="H18" s="41">
        <f>B18*Assumptions!$D$25</f>
        <v>194710.19999104802</v>
      </c>
    </row>
    <row r="19" spans="1:8" x14ac:dyDescent="0.25">
      <c r="A19" s="40" t="s">
        <v>52</v>
      </c>
      <c r="B19" s="3">
        <v>11913.858838356164</v>
      </c>
      <c r="C19" s="22">
        <f>B19*Assumptions!$B$24</f>
        <v>12509.551780273972</v>
      </c>
      <c r="D19" s="22">
        <f>B19*Assumptions!$B$25</f>
        <v>11318.165896438355</v>
      </c>
      <c r="E19" s="22">
        <f>B19*Assumptions!$C$24</f>
        <v>11318.165896438355</v>
      </c>
      <c r="F19" s="22">
        <f>B19*Assumptions!$C$25</f>
        <v>12509.551780273972</v>
      </c>
      <c r="G19" s="22">
        <f>B19*Assumptions!$D$24</f>
        <v>11675.58166158904</v>
      </c>
      <c r="H19" s="41">
        <f>B19*Assumptions!$D$25</f>
        <v>12152.136015123288</v>
      </c>
    </row>
    <row r="20" spans="1:8" x14ac:dyDescent="0.25">
      <c r="A20" s="40" t="s">
        <v>53</v>
      </c>
      <c r="B20" s="3">
        <v>9631.395192986296</v>
      </c>
      <c r="C20" s="22">
        <f>B20*Assumptions!$B$24</f>
        <v>10112.964952635612</v>
      </c>
      <c r="D20" s="22">
        <f>B20*Assumptions!$B$25</f>
        <v>9149.8254333369805</v>
      </c>
      <c r="E20" s="22">
        <f>B20*Assumptions!$C$24</f>
        <v>9149.8254333369805</v>
      </c>
      <c r="F20" s="22">
        <f>B20*Assumptions!$C$25</f>
        <v>10112.964952635612</v>
      </c>
      <c r="G20" s="22">
        <f>B20*Assumptions!$D$24</f>
        <v>9438.7672891265702</v>
      </c>
      <c r="H20" s="41">
        <f>B20*Assumptions!$D$25</f>
        <v>9824.0230968460219</v>
      </c>
    </row>
    <row r="21" spans="1:8" x14ac:dyDescent="0.25">
      <c r="A21" s="40" t="s">
        <v>54</v>
      </c>
      <c r="B21" s="3">
        <v>4815.697596493148</v>
      </c>
      <c r="C21" s="22">
        <f>B21*Assumptions!$B$24</f>
        <v>5056.4824763178058</v>
      </c>
      <c r="D21" s="22">
        <f>B21*Assumptions!$B$25</f>
        <v>4574.9127166684902</v>
      </c>
      <c r="E21" s="22">
        <f>B21*Assumptions!$C$24</f>
        <v>4574.9127166684902</v>
      </c>
      <c r="F21" s="22">
        <f>B21*Assumptions!$C$25</f>
        <v>5056.4824763178058</v>
      </c>
      <c r="G21" s="22">
        <f>B21*Assumptions!$D$24</f>
        <v>4719.3836445632851</v>
      </c>
      <c r="H21" s="41">
        <f>B21*Assumptions!$D$25</f>
        <v>4912.0115484230109</v>
      </c>
    </row>
    <row r="22" spans="1:8" x14ac:dyDescent="0.25">
      <c r="A22" s="40" t="s">
        <v>55</v>
      </c>
      <c r="B22" s="3">
        <v>166648.99014399998</v>
      </c>
      <c r="C22" s="3">
        <v>166648.99014399998</v>
      </c>
      <c r="D22" s="3">
        <v>166648.99014399998</v>
      </c>
      <c r="E22" s="3">
        <v>166648.99014399998</v>
      </c>
      <c r="F22" s="3">
        <v>166648.99014399998</v>
      </c>
      <c r="G22" s="3">
        <v>166648.99014399998</v>
      </c>
      <c r="H22" s="45">
        <v>166648.99014399998</v>
      </c>
    </row>
    <row r="23" spans="1:8" x14ac:dyDescent="0.25">
      <c r="A23" s="42" t="s">
        <v>56</v>
      </c>
      <c r="B23" s="43">
        <f>B18-B19-B20+B21-B22</f>
        <v>7513.8063535507245</v>
      </c>
      <c r="C23" s="43">
        <f t="shared" ref="C23:H23" si="2">C18-C19-C20+C21-C22</f>
        <v>16221.946178428276</v>
      </c>
      <c r="D23" s="43">
        <f t="shared" si="2"/>
        <v>-1194.3334713268268</v>
      </c>
      <c r="E23" s="43">
        <f t="shared" si="2"/>
        <v>-1194.3334713268268</v>
      </c>
      <c r="F23" s="43">
        <f t="shared" si="2"/>
        <v>16221.946178428276</v>
      </c>
      <c r="G23" s="43">
        <f t="shared" si="2"/>
        <v>4030.5504235996923</v>
      </c>
      <c r="H23" s="44">
        <f t="shared" si="2"/>
        <v>10997.062283501757</v>
      </c>
    </row>
  </sheetData>
  <sheetProtection algorithmName="SHA-512" hashValue="uTa7luntsmkWghUo5abk6COZOld7DyyZ20X4NjlWhB6skL5ySrInTZXY2GgnBuyPD5Xs3/iUD9OR8F1DdRFPDg==" saltValue="aox7dTXflgejtp/sGLMscA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K12" sqref="K12"/>
    </sheetView>
  </sheetViews>
  <sheetFormatPr defaultRowHeight="15" x14ac:dyDescent="0.25"/>
  <cols>
    <col min="1" max="1" width="11.140625" customWidth="1"/>
    <col min="2" max="6" width="10.5703125" bestFit="1" customWidth="1"/>
  </cols>
  <sheetData>
    <row r="1" spans="1:11" ht="15.75" thickBot="1" x14ac:dyDescent="0.3">
      <c r="A1" s="91" t="s">
        <v>76</v>
      </c>
      <c r="B1" s="91"/>
      <c r="C1" s="91"/>
    </row>
    <row r="2" spans="1:11" ht="15.75" thickBot="1" x14ac:dyDescent="0.3">
      <c r="A2" s="76" t="s">
        <v>80</v>
      </c>
      <c r="B2" s="77" t="s">
        <v>77</v>
      </c>
      <c r="C2" s="77" t="s">
        <v>78</v>
      </c>
      <c r="D2" s="77" t="s">
        <v>26</v>
      </c>
      <c r="E2" s="78">
        <v>0.02</v>
      </c>
      <c r="F2" s="79">
        <v>0.05</v>
      </c>
      <c r="G2" s="69">
        <v>-0.05</v>
      </c>
      <c r="H2" s="37" t="s">
        <v>78</v>
      </c>
      <c r="I2" s="38">
        <v>0.02</v>
      </c>
      <c r="J2" s="39">
        <v>0.05</v>
      </c>
    </row>
    <row r="3" spans="1:11" x14ac:dyDescent="0.25">
      <c r="A3" s="70" t="s">
        <v>79</v>
      </c>
      <c r="B3" s="71">
        <f>D3*G3</f>
        <v>162542.15</v>
      </c>
      <c r="C3" s="71">
        <f>D3*H3</f>
        <v>167675.06</v>
      </c>
      <c r="D3" s="71">
        <v>171097</v>
      </c>
      <c r="E3" s="71">
        <f>D3*I3</f>
        <v>174518.94</v>
      </c>
      <c r="F3" s="72">
        <f>D3*J3</f>
        <v>179651.85</v>
      </c>
      <c r="G3" s="30">
        <f>1-0.05</f>
        <v>0.95</v>
      </c>
      <c r="H3" s="30">
        <f>1-0.02</f>
        <v>0.98</v>
      </c>
      <c r="I3" s="32">
        <f>1+0.02</f>
        <v>1.02</v>
      </c>
      <c r="J3" s="33">
        <f>1+0.05</f>
        <v>1.05</v>
      </c>
      <c r="K3" s="3"/>
    </row>
    <row r="4" spans="1:11" x14ac:dyDescent="0.25">
      <c r="A4" s="70" t="s">
        <v>3</v>
      </c>
      <c r="B4" s="71">
        <f>D4*G4</f>
        <v>179651.85</v>
      </c>
      <c r="C4" s="71">
        <f>D4*H4</f>
        <v>174518.94</v>
      </c>
      <c r="D4" s="71">
        <v>171097</v>
      </c>
      <c r="E4" s="71">
        <f>D4*I4</f>
        <v>167675.06</v>
      </c>
      <c r="F4" s="72">
        <f>D4*J4</f>
        <v>162542.15</v>
      </c>
      <c r="G4" s="31">
        <f>1+0.05</f>
        <v>1.05</v>
      </c>
      <c r="H4" s="31">
        <f>1+0.02</f>
        <v>1.02</v>
      </c>
      <c r="I4" s="31">
        <f>1-0.02</f>
        <v>0.98</v>
      </c>
      <c r="J4" s="34">
        <f>1-0.05</f>
        <v>0.95</v>
      </c>
      <c r="K4" s="3"/>
    </row>
    <row r="5" spans="1:11" ht="15.75" thickBot="1" x14ac:dyDescent="0.3">
      <c r="A5" s="73" t="s">
        <v>2</v>
      </c>
      <c r="B5" s="74">
        <f>D5*G5</f>
        <v>179652.9</v>
      </c>
      <c r="C5" s="74">
        <f>D5*H5</f>
        <v>174519.96</v>
      </c>
      <c r="D5" s="74">
        <v>171098</v>
      </c>
      <c r="E5" s="74">
        <f>D5*I5</f>
        <v>167676.04</v>
      </c>
      <c r="F5" s="75">
        <f>D5*J5</f>
        <v>162543.1</v>
      </c>
      <c r="G5" s="35">
        <f>1+0.05</f>
        <v>1.05</v>
      </c>
      <c r="H5" s="35">
        <f>1+0.02</f>
        <v>1.02</v>
      </c>
      <c r="I5" s="35">
        <f>1-0.02</f>
        <v>0.98</v>
      </c>
      <c r="J5" s="36">
        <f>1-0.05</f>
        <v>0.95</v>
      </c>
      <c r="K5" s="3"/>
    </row>
    <row r="6" spans="1:11" ht="15.75" thickBot="1" x14ac:dyDescent="0.3">
      <c r="H6" s="3"/>
      <c r="I6" s="3"/>
      <c r="J6" s="3"/>
      <c r="K6" s="3"/>
    </row>
    <row r="7" spans="1:11" ht="15.75" thickBot="1" x14ac:dyDescent="0.3">
      <c r="A7" s="76" t="s">
        <v>81</v>
      </c>
      <c r="B7" s="77" t="s">
        <v>77</v>
      </c>
      <c r="C7" s="77" t="s">
        <v>78</v>
      </c>
      <c r="D7" s="77" t="s">
        <v>26</v>
      </c>
      <c r="E7" s="78">
        <v>0.02</v>
      </c>
      <c r="F7" s="79">
        <v>0.05</v>
      </c>
    </row>
    <row r="8" spans="1:11" x14ac:dyDescent="0.25">
      <c r="A8" s="70" t="s">
        <v>79</v>
      </c>
      <c r="B8" s="71">
        <f>$D$8*G3</f>
        <v>171723.71528200002</v>
      </c>
      <c r="C8" s="71">
        <f>$D$8*H3</f>
        <v>177146.56944880003</v>
      </c>
      <c r="D8" s="3">
        <v>180761.80556000004</v>
      </c>
      <c r="E8" s="71">
        <f>$D$8*I3</f>
        <v>184377.04167120004</v>
      </c>
      <c r="F8" s="72">
        <f>$D$8*J3</f>
        <v>189799.89583800005</v>
      </c>
    </row>
    <row r="9" spans="1:11" x14ac:dyDescent="0.25">
      <c r="A9" s="70" t="s">
        <v>3</v>
      </c>
      <c r="B9" s="71">
        <f t="shared" ref="B9:C10" si="0">$D$8*G4</f>
        <v>189799.89583800005</v>
      </c>
      <c r="C9" s="71">
        <f t="shared" si="0"/>
        <v>184377.04167120004</v>
      </c>
      <c r="D9" s="3">
        <v>180761.80556000004</v>
      </c>
      <c r="E9" s="71">
        <f t="shared" ref="E9:E10" si="1">$D$8*I4</f>
        <v>177146.56944880003</v>
      </c>
      <c r="F9" s="72">
        <f t="shared" ref="F9:F10" si="2">$D$8*J4</f>
        <v>171723.71528200002</v>
      </c>
    </row>
    <row r="10" spans="1:11" ht="15.75" thickBot="1" x14ac:dyDescent="0.3">
      <c r="A10" s="73" t="s">
        <v>2</v>
      </c>
      <c r="B10" s="74">
        <f t="shared" si="0"/>
        <v>189799.89583800005</v>
      </c>
      <c r="C10" s="74">
        <f t="shared" si="0"/>
        <v>184377.04167120004</v>
      </c>
      <c r="D10" s="6">
        <v>180761.80556000004</v>
      </c>
      <c r="E10" s="74">
        <f t="shared" si="1"/>
        <v>177146.56944880003</v>
      </c>
      <c r="F10" s="75">
        <f t="shared" si="2"/>
        <v>171723.71528200002</v>
      </c>
    </row>
    <row r="11" spans="1:11" ht="15.75" thickBot="1" x14ac:dyDescent="0.3"/>
    <row r="12" spans="1:11" ht="15.75" thickBot="1" x14ac:dyDescent="0.3">
      <c r="A12" s="76" t="s">
        <v>82</v>
      </c>
      <c r="B12" s="77" t="s">
        <v>77</v>
      </c>
      <c r="C12" s="77" t="s">
        <v>78</v>
      </c>
      <c r="D12" s="77" t="s">
        <v>26</v>
      </c>
      <c r="E12" s="78">
        <v>0.02</v>
      </c>
      <c r="F12" s="79">
        <v>0.05</v>
      </c>
    </row>
    <row r="13" spans="1:11" x14ac:dyDescent="0.25">
      <c r="A13" s="70" t="s">
        <v>79</v>
      </c>
      <c r="B13" s="71">
        <f t="shared" ref="B13:C15" si="3">$D13*G3</f>
        <v>181347.73528578001</v>
      </c>
      <c r="C13" s="71">
        <f t="shared" si="3"/>
        <v>187074.505873752</v>
      </c>
      <c r="D13" s="3">
        <v>190892.35293240001</v>
      </c>
      <c r="E13" s="71">
        <f t="shared" ref="E13:F15" si="4">$D13*I3</f>
        <v>194710.19999104802</v>
      </c>
      <c r="F13" s="72">
        <f t="shared" si="4"/>
        <v>200436.97057902001</v>
      </c>
    </row>
    <row r="14" spans="1:11" x14ac:dyDescent="0.25">
      <c r="A14" s="70" t="s">
        <v>3</v>
      </c>
      <c r="B14" s="71">
        <f t="shared" si="3"/>
        <v>200436.97057902001</v>
      </c>
      <c r="C14" s="71">
        <f t="shared" si="3"/>
        <v>194710.19999104802</v>
      </c>
      <c r="D14" s="3">
        <v>190892.35293240001</v>
      </c>
      <c r="E14" s="71">
        <f t="shared" si="4"/>
        <v>187074.505873752</v>
      </c>
      <c r="F14" s="72">
        <f t="shared" si="4"/>
        <v>181347.73528578001</v>
      </c>
    </row>
    <row r="15" spans="1:11" ht="15.75" thickBot="1" x14ac:dyDescent="0.3">
      <c r="A15" s="73" t="s">
        <v>2</v>
      </c>
      <c r="B15" s="74">
        <f t="shared" si="3"/>
        <v>200436.97057902001</v>
      </c>
      <c r="C15" s="74">
        <f t="shared" si="3"/>
        <v>194710.19999104802</v>
      </c>
      <c r="D15" s="6">
        <v>190892.35293240001</v>
      </c>
      <c r="E15" s="74">
        <f t="shared" si="4"/>
        <v>187074.505873752</v>
      </c>
      <c r="F15" s="75">
        <f t="shared" si="4"/>
        <v>181347.73528578001</v>
      </c>
    </row>
  </sheetData>
  <sheetProtection algorithmName="SHA-512" hashValue="g4aU7yMZCS0FDywclv1tEPeXq6zDcb3VLLEMx29bMGuHEaDWVPiiLtG+nNG0dzC7XrxW/ttU4+BK0wuGvFkQ+g==" saltValue="OrGjP3yak/E6pIMlI5W/GA==" spinCount="100000" sheet="1" objects="1" scenarios="1"/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"/>
  <sheetViews>
    <sheetView zoomScale="89" zoomScaleNormal="89" workbookViewId="0">
      <selection activeCell="Q10" sqref="Q10"/>
    </sheetView>
  </sheetViews>
  <sheetFormatPr defaultRowHeight="15" x14ac:dyDescent="0.25"/>
  <cols>
    <col min="1" max="13" width="9.140625" style="88"/>
    <col min="14" max="15" width="9.140625" style="88" customWidth="1"/>
    <col min="16" max="16384" width="9.140625" style="88"/>
  </cols>
  <sheetData>
    <row r="1" spans="1:11" ht="21" x14ac:dyDescent="0.35">
      <c r="A1" s="92" t="s">
        <v>83</v>
      </c>
      <c r="B1" s="92"/>
      <c r="C1" s="92"/>
      <c r="D1" s="92"/>
      <c r="E1" s="92"/>
      <c r="F1" s="92"/>
      <c r="G1" s="92"/>
      <c r="H1" s="92"/>
      <c r="I1" s="89"/>
      <c r="J1" s="89"/>
      <c r="K1" s="89"/>
    </row>
    <row r="3" spans="1:11" ht="15.75" x14ac:dyDescent="0.25">
      <c r="A3" s="90" t="s">
        <v>84</v>
      </c>
    </row>
  </sheetData>
  <sheetProtection algorithmName="SHA-512" hashValue="VtdVMsCcUkckhWNmSANdNpmVq5jgGR2gZupq8VM/IigWtaYBSugPgUdkeoW0PTHOUorp+SHl9vvhMRWDqhc5wA==" saltValue="n8tTcLtsNWkfKvVoexnVcg==" spinCount="100000" sheet="1" objects="1" scenarios="1"/>
  <mergeCells count="1">
    <mergeCell ref="A1:H1"/>
  </mergeCells>
  <pageMargins left="0.19791666666666666" right="0.23622047244094491" top="0.74803149606299213" bottom="0.74803149606299213" header="0.31496062992125984" footer="0.31496062992125984"/>
  <pageSetup paperSize="9" orientation="landscape" r:id="rId1"/>
  <headerFooter>
    <oddFooter xml:space="preserve">&amp;LJennika Thomas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Assumptions</vt:lpstr>
      <vt:lpstr>Historical Data</vt:lpstr>
      <vt:lpstr>Country P&amp;L Forecast</vt:lpstr>
      <vt:lpstr>Country BS Forecast</vt:lpstr>
      <vt:lpstr>Country CashFlow Forecast</vt:lpstr>
      <vt:lpstr>Consolidation</vt:lpstr>
      <vt:lpstr>Scenario Analysis</vt:lpstr>
      <vt:lpstr>Sensitivity Table</vt:lpstr>
      <vt:lpstr>Dashboard (Power BI preview)</vt:lpstr>
      <vt:lpstr>'Dashboard (Power BI preview)'!Print_Area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Jennika Thomas</dc:creator>
  <cp:lastModifiedBy>Thomas</cp:lastModifiedBy>
  <cp:lastPrinted>2025-11-12T16:50:19Z</cp:lastPrinted>
  <dcterms:created xsi:type="dcterms:W3CDTF">2025-11-05T15:02:32Z</dcterms:created>
  <dcterms:modified xsi:type="dcterms:W3CDTF">2025-11-12T17:39:15Z</dcterms:modified>
</cp:coreProperties>
</file>