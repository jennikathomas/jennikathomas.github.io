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omas\Documents\Jennika\"/>
    </mc:Choice>
  </mc:AlternateContent>
  <bookViews>
    <workbookView xWindow="0" yWindow="0" windowWidth="19200" windowHeight="6915"/>
  </bookViews>
  <sheets>
    <sheet name="Dashboard" sheetId="4" r:id="rId1"/>
    <sheet name="Raw Data" sheetId="1" r:id="rId2"/>
    <sheet name="Calculations" sheetId="2" r:id="rId3"/>
  </sheets>
  <definedNames>
    <definedName name="_xlnm.Print_Area" localSheetId="0">Dashboard!$A$1:$K$50</definedName>
  </definedNames>
  <calcPr calcId="152511"/>
</workbook>
</file>

<file path=xl/calcChain.xml><?xml version="1.0" encoding="utf-8"?>
<calcChain xmlns="http://schemas.openxmlformats.org/spreadsheetml/2006/main">
  <c r="B5" i="4" l="1"/>
  <c r="B4" i="4"/>
  <c r="B3" i="4"/>
  <c r="B3" i="2"/>
  <c r="B4" i="2"/>
  <c r="B5" i="2"/>
  <c r="B6" i="2"/>
  <c r="B7" i="2"/>
  <c r="B8" i="2"/>
  <c r="B9" i="2"/>
  <c r="B10" i="2"/>
  <c r="B11" i="2"/>
  <c r="B12" i="2"/>
  <c r="B13" i="2"/>
  <c r="B2" i="2"/>
  <c r="G3" i="2"/>
  <c r="G4" i="2"/>
  <c r="G5" i="2"/>
  <c r="G6" i="2"/>
  <c r="G7" i="2"/>
  <c r="G8" i="2"/>
  <c r="G9" i="2"/>
  <c r="G10" i="2"/>
  <c r="G11" i="2"/>
  <c r="G12" i="2"/>
  <c r="G13" i="2"/>
  <c r="G2" i="2"/>
  <c r="F3" i="2"/>
  <c r="F4" i="2"/>
  <c r="F5" i="2"/>
  <c r="F6" i="2"/>
  <c r="F7" i="2"/>
  <c r="F8" i="2"/>
  <c r="F9" i="2"/>
  <c r="F10" i="2"/>
  <c r="F11" i="2"/>
  <c r="F12" i="2"/>
  <c r="F13" i="2"/>
  <c r="F2" i="2"/>
  <c r="E3" i="2"/>
  <c r="E4" i="2"/>
  <c r="E5" i="2"/>
  <c r="E6" i="2"/>
  <c r="E7" i="2"/>
  <c r="E8" i="2"/>
  <c r="E9" i="2"/>
  <c r="E10" i="2"/>
  <c r="E11" i="2"/>
  <c r="E12" i="2"/>
  <c r="E13" i="2"/>
  <c r="E2" i="2"/>
  <c r="D3" i="2"/>
  <c r="D4" i="2"/>
  <c r="D5" i="2"/>
  <c r="D6" i="2"/>
  <c r="D7" i="2"/>
  <c r="D8" i="2"/>
  <c r="D9" i="2"/>
  <c r="D10" i="2"/>
  <c r="D11" i="2"/>
  <c r="D12" i="2"/>
  <c r="D13" i="2"/>
  <c r="D2" i="2"/>
  <c r="C3" i="2"/>
  <c r="C4" i="2"/>
  <c r="C5" i="2"/>
  <c r="C6" i="2"/>
  <c r="C7" i="2"/>
  <c r="C8" i="2"/>
  <c r="C9" i="2"/>
  <c r="C10" i="2"/>
  <c r="C11" i="2"/>
  <c r="C12" i="2"/>
  <c r="C13" i="2"/>
  <c r="C2" i="2"/>
</calcChain>
</file>

<file path=xl/sharedStrings.xml><?xml version="1.0" encoding="utf-8"?>
<sst xmlns="http://schemas.openxmlformats.org/spreadsheetml/2006/main" count="43" uniqueCount="30">
  <si>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</si>
  <si>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</si>
  <si>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</si>
  <si>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</si>
  <si>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</si>
  <si>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</si>
  <si>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</si>
  <si>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</si>
  <si>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</si>
  <si>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</si>
  <si>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</si>
  <si>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</si>
  <si>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</si>
  <si>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Variance Analysis Dashboard</t>
  </si>
  <si>
    <t>YTD Revenue Var %</t>
  </si>
  <si>
    <t>YTD OPEX Var %</t>
  </si>
  <si>
    <t>YTD EBITDA Var %</t>
  </si>
  <si>
    <t>Revenue Budget</t>
  </si>
  <si>
    <t>Revenue Actual</t>
  </si>
  <si>
    <t>OPEX Budget</t>
  </si>
  <si>
    <t>OPEX Actual</t>
  </si>
  <si>
    <t>EBITDA Budget</t>
  </si>
  <si>
    <t>EBITDA Actual</t>
  </si>
  <si>
    <t>Revenue Variance</t>
  </si>
  <si>
    <t>Revenue Variance %</t>
  </si>
  <si>
    <t>OPEX Variance</t>
  </si>
  <si>
    <t>OPEX Variance %</t>
  </si>
  <si>
    <t>EBITDA Variance</t>
  </si>
  <si>
    <t>EBITDA Variance %</t>
  </si>
  <si>
    <t>Jennika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</si>
</sst>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u/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164" fontId="5" fillId="2" borderId="0" xfId="0" applyNumberFormat="1" applyFont="1" applyFill="1" applyAlignment="1">
      <alignment horizontal="center"/>
    </xf>
    <xf numFmtId="0" fontId="0" fillId="2" borderId="0" xfId="0" applyFill="1"/>
    <xf numFmtId="14" fontId="0" fillId="2" borderId="0" xfId="0" applyNumberFormat="1" applyFill="1"/>
    <xf numFmtId="0" fontId="3" fillId="2" borderId="0" xfId="0" applyFont="1" applyFill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" xfId="1" applyNumberFormat="1" applyFont="1" applyBorder="1"/>
    <xf numFmtId="164" fontId="0" fillId="0" borderId="6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6" fillId="2" borderId="0" xfId="0" applyFont="1" applyFill="1"/>
  </cellXfs>
  <cellStyles count="2">
    <cellStyle name="Normal" xfId="0" builtinId="0"/>
    <cellStyle name="Percent" xfId="1" builtinId="5"/>
  </cellStyles>
  <dxfs count="4"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66FF99"/>
      <color rgb="FF00FFCC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300">
                <a:latin typeface="Arial" panose="020B0604020202020204" pitchFamily="34" charset="0"/>
                <a:cs typeface="Arial" panose="020B0604020202020204" pitchFamily="34" charset="0"/>
              </a:rPr>
              <a:t>Revenue</a:t>
            </a:r>
            <a:r>
              <a:rPr lang="en-US" sz="13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300">
                <a:latin typeface="Arial" panose="020B0604020202020204" pitchFamily="34" charset="0"/>
                <a:cs typeface="Arial" panose="020B0604020202020204" pitchFamily="34" charset="0"/>
              </a:rPr>
              <a:t>Variance</a:t>
            </a:r>
            <a:r>
              <a:rPr lang="en-US" sz="1300" baseline="0">
                <a:latin typeface="Arial" panose="020B0604020202020204" pitchFamily="34" charset="0"/>
                <a:cs typeface="Arial" panose="020B0604020202020204" pitchFamily="34" charset="0"/>
              </a:rPr>
              <a:t> % (Actual vs Budget)</a:t>
            </a:r>
            <a:endParaRPr lang="en-US" sz="13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Calculations!$C$1</c:f>
              <c:strCache>
                <c:ptCount val="1"/>
                <c:pt idx="0">
                  <c:v>Revenue Variance %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Calculations!$A$2:$A$13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Calculations!$C$2:$C$13</c:f>
              <c:numCache>
                <c:formatCode>0.0%</c:formatCode>
                <c:ptCount val="12"/>
                <c:pt idx="0">
                  <c:v>-0.05</c:v>
                </c:pt>
                <c:pt idx="1">
                  <c:v>-1.6666666666666666E-2</c:v>
                </c:pt>
                <c:pt idx="2">
                  <c:v>-1.5384615384615385E-2</c:v>
                </c:pt>
                <c:pt idx="3">
                  <c:v>-0.08</c:v>
                </c:pt>
                <c:pt idx="4">
                  <c:v>-5.7142857142857141E-2</c:v>
                </c:pt>
                <c:pt idx="5">
                  <c:v>-3.7037037037037035E-2</c:v>
                </c:pt>
                <c:pt idx="6">
                  <c:v>-1.3333333333333334E-2</c:v>
                </c:pt>
                <c:pt idx="7">
                  <c:v>1.935483870967742E-2</c:v>
                </c:pt>
                <c:pt idx="8">
                  <c:v>-1.2500000000000001E-2</c:v>
                </c:pt>
                <c:pt idx="9">
                  <c:v>1.1764705882352941E-2</c:v>
                </c:pt>
                <c:pt idx="10">
                  <c:v>-3.0303030303030304E-2</c:v>
                </c:pt>
                <c:pt idx="11">
                  <c:v>2.8571428571428571E-2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53735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8694416"/>
        <c:axId val="2068697136"/>
      </c:barChart>
      <c:catAx>
        <c:axId val="206869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697136"/>
        <c:crosses val="autoZero"/>
        <c:auto val="1"/>
        <c:lblAlgn val="ctr"/>
        <c:lblOffset val="100"/>
        <c:noMultiLvlLbl val="0"/>
      </c:catAx>
      <c:valAx>
        <c:axId val="206869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69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OPEX Variance % (Actual vs Budget)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Calculations!$E$1</c:f>
              <c:strCache>
                <c:ptCount val="1"/>
                <c:pt idx="0">
                  <c:v>OPEX Variance %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bg1"/>
              </a:solidFill>
              <a:ln w="44450">
                <a:solidFill>
                  <a:schemeClr val="bg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Calculations!$E$2:$E$13</c:f>
              <c:numCache>
                <c:formatCode>0.0%</c:formatCode>
                <c:ptCount val="12"/>
                <c:pt idx="0">
                  <c:v>-3.3333333333333333E-2</c:v>
                </c:pt>
                <c:pt idx="1">
                  <c:v>3.0769230769230771E-2</c:v>
                </c:pt>
                <c:pt idx="2">
                  <c:v>1.5625E-2</c:v>
                </c:pt>
                <c:pt idx="3">
                  <c:v>-3.1746031746031744E-2</c:v>
                </c:pt>
                <c:pt idx="4">
                  <c:v>-1.5151515151515152E-2</c:v>
                </c:pt>
                <c:pt idx="5">
                  <c:v>-2.9411764705882353E-2</c:v>
                </c:pt>
                <c:pt idx="6">
                  <c:v>7.1428571428571426E-3</c:v>
                </c:pt>
                <c:pt idx="7">
                  <c:v>-1.3888888888888888E-2</c:v>
                </c:pt>
                <c:pt idx="8">
                  <c:v>-1.4084507042253521E-2</c:v>
                </c:pt>
                <c:pt idx="9">
                  <c:v>-6.8493150684931503E-3</c:v>
                </c:pt>
                <c:pt idx="10">
                  <c:v>-6.7567567567567571E-3</c:v>
                </c:pt>
                <c:pt idx="11">
                  <c:v>-6.5789473684210523E-3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68698224"/>
        <c:axId val="2068694960"/>
      </c:lineChart>
      <c:catAx>
        <c:axId val="206869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694960"/>
        <c:crosses val="autoZero"/>
        <c:auto val="1"/>
        <c:lblAlgn val="ctr"/>
        <c:lblOffset val="100"/>
        <c:noMultiLvlLbl val="0"/>
      </c:catAx>
      <c:valAx>
        <c:axId val="20686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bg1">
                    <a:lumMod val="85000"/>
                  </a:schemeClr>
                </a:solidFill>
                <a:effectLst>
                  <a:glow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69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EBITDA</a:t>
            </a:r>
            <a:r>
              <a:rPr lang="en-US" sz="1600" baseline="0">
                <a:solidFill>
                  <a:schemeClr val="bg1"/>
                </a:solidFill>
              </a:rPr>
              <a:t> </a:t>
            </a:r>
            <a:r>
              <a:rPr lang="en-US" sz="1600">
                <a:solidFill>
                  <a:schemeClr val="bg1"/>
                </a:solidFill>
              </a:rPr>
              <a:t>Variance</a:t>
            </a:r>
            <a:r>
              <a:rPr lang="en-US" sz="1600" baseline="0">
                <a:solidFill>
                  <a:schemeClr val="bg1"/>
                </a:solidFill>
              </a:rPr>
              <a:t> </a:t>
            </a:r>
            <a:r>
              <a:rPr lang="en-US" sz="1600">
                <a:solidFill>
                  <a:schemeClr val="bg1"/>
                </a:solidFill>
              </a:rPr>
              <a:t>%(Actual vs Budget)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Calculations!$G$1</c:f>
              <c:strCache>
                <c:ptCount val="1"/>
                <c:pt idx="0">
                  <c:v>EBITDA Variance %</c:v>
                </c:pt>
              </c:strCache>
            </c:strRef>
          </c:tx>
          <c:spPr>
            <a:ln w="254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solidFill>
                <a:srgbClr val="92D050"/>
              </a:solidFill>
              <a:ln w="19050">
                <a:solidFill>
                  <a:schemeClr val="accent3">
                    <a:lumMod val="7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Calculations!$G$2:$G$13</c:f>
              <c:numCache>
                <c:formatCode>0.0%</c:formatCode>
                <c:ptCount val="12"/>
                <c:pt idx="0">
                  <c:v>-7.4999999999999997E-2</c:v>
                </c:pt>
                <c:pt idx="1">
                  <c:v>-7.2727272727272724E-2</c:v>
                </c:pt>
                <c:pt idx="2">
                  <c:v>-4.5454545454545456E-2</c:v>
                </c:pt>
                <c:pt idx="3">
                  <c:v>-0.12903225806451613</c:v>
                </c:pt>
                <c:pt idx="4">
                  <c:v>-9.45945945945946E-2</c:v>
                </c:pt>
                <c:pt idx="5">
                  <c:v>-4.4776119402985072E-2</c:v>
                </c:pt>
                <c:pt idx="6">
                  <c:v>-3.125E-2</c:v>
                </c:pt>
                <c:pt idx="7">
                  <c:v>4.8192771084337352E-2</c:v>
                </c:pt>
                <c:pt idx="8">
                  <c:v>-1.1235955056179775E-2</c:v>
                </c:pt>
                <c:pt idx="9">
                  <c:v>2.5773195876288658E-2</c:v>
                </c:pt>
                <c:pt idx="10">
                  <c:v>-4.9450549450549448E-2</c:v>
                </c:pt>
                <c:pt idx="11">
                  <c:v>5.5555555555555552E-2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68698768"/>
        <c:axId val="2068702032"/>
      </c:lineChart>
      <c:catAx>
        <c:axId val="206869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02032"/>
        <c:crosses val="autoZero"/>
        <c:auto val="1"/>
        <c:lblAlgn val="ctr"/>
        <c:lblOffset val="100"/>
        <c:noMultiLvlLbl val="0"/>
      </c:catAx>
      <c:valAx>
        <c:axId val="206870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solidFill>
              <a:schemeClr val="accent3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69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27476</xdr:colOff>
      <xdr:row>6</xdr:row>
      <xdr:rowOff>192331</xdr:rowOff>
    </xdr:from>
    <xdr:to>
      <xdr:col>5</xdr:col>
      <xdr:colOff>608501</xdr:colOff>
      <xdr:row>19</xdr:row>
      <xdr:rowOff>183173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23446</xdr:rowOff>
    </xdr:from>
    <xdr:to>
      <xdr:col>6</xdr:col>
      <xdr:colOff>18316</xdr:colOff>
      <xdr:row>33</xdr:row>
      <xdr:rowOff>190134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15387</xdr:rowOff>
    </xdr:from>
    <xdr:to>
      <xdr:col>6</xdr:col>
      <xdr:colOff>180975</xdr:colOff>
      <xdr:row>12</xdr:row>
      <xdr:rowOff>34437</xdr:rowOff>
    </xdr:to>
    <xdr:cxnSp macro="">
      <xdr:nvCxnSpPr>
        <xdr:cNvPr id="6" name="Straight Connector 5"/>
        <xdr:cNvCxnSpPr/>
      </xdr:nvCxnSpPr>
      <xdr:spPr>
        <a:xfrm flipV="1">
          <a:off x="0" y="2680555"/>
          <a:ext cx="4970951" cy="19050"/>
        </a:xfrm>
        <a:prstGeom prst="line">
          <a:avLst/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66675</xdr:rowOff>
    </xdr:from>
    <xdr:to>
      <xdr:col>6</xdr:col>
      <xdr:colOff>57150</xdr:colOff>
      <xdr:row>28</xdr:row>
      <xdr:rowOff>76200</xdr:rowOff>
    </xdr:to>
    <xdr:cxnSp macro="">
      <xdr:nvCxnSpPr>
        <xdr:cNvPr id="8" name="Straight Connector 7"/>
        <xdr:cNvCxnSpPr/>
      </xdr:nvCxnSpPr>
      <xdr:spPr>
        <a:xfrm flipV="1">
          <a:off x="0" y="5809151"/>
          <a:ext cx="4847126" cy="9525"/>
        </a:xfrm>
        <a:prstGeom prst="line">
          <a:avLst/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12823</xdr:rowOff>
    </xdr:from>
    <xdr:to>
      <xdr:col>5</xdr:col>
      <xdr:colOff>604471</xdr:colOff>
      <xdr:row>48</xdr:row>
      <xdr:rowOff>0</xdr:rowOff>
    </xdr:to>
    <xdr:graphicFrame macro="">
      <xdr:nvGraphicFramePr>
        <xdr:cNvPr id="1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8695</xdr:colOff>
      <xdr:row>6</xdr:row>
      <xdr:rowOff>191037</xdr:rowOff>
    </xdr:from>
    <xdr:to>
      <xdr:col>9</xdr:col>
      <xdr:colOff>539898</xdr:colOff>
      <xdr:row>24</xdr:row>
      <xdr:rowOff>163561</xdr:rowOff>
    </xdr:to>
    <xdr:sp macro="" textlink="">
      <xdr:nvSpPr>
        <xdr:cNvPr id="11" name="TextBox 10"/>
        <xdr:cNvSpPr txBox="1"/>
      </xdr:nvSpPr>
      <xdr:spPr>
        <a:xfrm>
          <a:off x="5367710" y="1720810"/>
          <a:ext cx="1743476" cy="343616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 b="1"/>
            <a:t>Key Highlights:</a:t>
          </a:r>
          <a:r>
            <a:rPr lang="en-IN"/>
            <a:t/>
          </a:r>
          <a:br>
            <a:rPr lang="en-IN"/>
          </a:br>
          <a:r>
            <a:rPr lang="en-IN"/>
            <a:t>• </a:t>
          </a:r>
          <a:r>
            <a:rPr lang="en-IN" b="1"/>
            <a:t>Revenue</a:t>
          </a:r>
          <a:r>
            <a:rPr lang="en-IN"/>
            <a:t> ended the year </a:t>
          </a:r>
          <a:r>
            <a:rPr lang="en-IN" b="1"/>
            <a:t>1.8% below budget</a:t>
          </a:r>
          <a:r>
            <a:rPr lang="en-IN"/>
            <a:t>, mainly due to weaker performance in Q2 and partial recovery in Q4 (+2.9% in Dec).</a:t>
          </a:r>
          <a:br>
            <a:rPr lang="en-IN"/>
          </a:br>
          <a:r>
            <a:rPr lang="en-IN"/>
            <a:t>• </a:t>
          </a:r>
          <a:r>
            <a:rPr lang="en-IN" b="1"/>
            <a:t>OPEX</a:t>
          </a:r>
          <a:r>
            <a:rPr lang="en-IN"/>
            <a:t> stayed </a:t>
          </a:r>
          <a:r>
            <a:rPr lang="en-IN" b="1"/>
            <a:t>within 0.9% of budget</a:t>
          </a:r>
          <a:r>
            <a:rPr lang="en-IN"/>
            <a:t>, reflecting strong cost control throughout the year.</a:t>
          </a:r>
          <a:br>
            <a:rPr lang="en-IN"/>
          </a:br>
          <a:r>
            <a:rPr lang="en-IN"/>
            <a:t>• </a:t>
          </a:r>
          <a:r>
            <a:rPr lang="en-IN" b="1"/>
            <a:t>EBITDA</a:t>
          </a:r>
          <a:r>
            <a:rPr lang="en-IN"/>
            <a:t> closed </a:t>
          </a:r>
          <a:r>
            <a:rPr lang="en-IN" b="1"/>
            <a:t>2.7% below plan</a:t>
          </a:r>
          <a:r>
            <a:rPr lang="en-IN"/>
            <a:t>, though margins improved steadily from July onwards.</a:t>
          </a:r>
          <a:br>
            <a:rPr lang="en-IN"/>
          </a:br>
          <a:r>
            <a:rPr lang="en-IN"/>
            <a:t>• </a:t>
          </a:r>
          <a:r>
            <a:rPr lang="en-IN" b="1"/>
            <a:t>Q4</a:t>
          </a:r>
          <a:r>
            <a:rPr lang="en-IN"/>
            <a:t> performance showed positive momentum, positioning the business well for FY26 budgeting.</a:t>
          </a:r>
          <a:endParaRPr lang="en-IN" sz="1100"/>
        </a:p>
      </xdr:txBody>
    </xdr:sp>
    <xdr:clientData/>
  </xdr:twoCellAnchor>
  <xdr:twoCellAnchor>
    <xdr:from>
      <xdr:col>0</xdr:col>
      <xdr:colOff>5862</xdr:colOff>
      <xdr:row>41</xdr:row>
      <xdr:rowOff>94519</xdr:rowOff>
    </xdr:from>
    <xdr:to>
      <xdr:col>6</xdr:col>
      <xdr:colOff>186837</xdr:colOff>
      <xdr:row>41</xdr:row>
      <xdr:rowOff>113569</xdr:rowOff>
    </xdr:to>
    <xdr:cxnSp macro="">
      <xdr:nvCxnSpPr>
        <xdr:cNvPr id="12" name="Straight Connector 11"/>
        <xdr:cNvCxnSpPr/>
      </xdr:nvCxnSpPr>
      <xdr:spPr>
        <a:xfrm flipV="1">
          <a:off x="5862" y="8337307"/>
          <a:ext cx="4970951" cy="19050"/>
        </a:xfrm>
        <a:prstGeom prst="line">
          <a:avLst/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J5"/>
  <sheetViews>
    <sheetView showGridLines="0" tabSelected="1" zoomScale="110" zoomScaleNormal="85" workbookViewId="0">
      <selection activeCell="L13" sqref="L13"/>
    </sheetView>
  </sheetViews>
  <sheetFormatPr defaultRowHeight="15" x14ac:dyDescent="0.25"/>
  <cols>
    <col min="1" max="1" width="22.28515625" style="2" customWidth="1"/>
    <col min="2" max="2" width="12.7109375" style="2" bestFit="1" customWidth="1"/>
    <col min="3" max="6" width="9.140625" style="2"/>
    <col min="7" max="7" width="9.140625" style="2" customWidth="1"/>
    <col min="8" max="16384" width="9.140625" style="2"/>
  </cols>
  <sheetData>
    <row r="1" spans="1:10" ht="26.25" x14ac:dyDescent="0.4">
      <c r="A1" s="20" t="s">
        <v>29</v>
      </c>
      <c r="B1" s="18" t="s">
        <v>13</v>
      </c>
      <c r="C1" s="18"/>
      <c r="D1" s="18"/>
      <c r="E1" s="18"/>
      <c r="F1" s="18"/>
      <c r="G1" s="19"/>
      <c r="H1" s="19"/>
      <c r="I1" s="19"/>
      <c r="J1" s="19"/>
    </row>
    <row r="2" spans="1:10" x14ac:dyDescent="0.25">
      <c r="B2" s="3"/>
    </row>
    <row r="3" spans="1:10" ht="21" x14ac:dyDescent="0.35">
      <c r="A3" s="4" t="s">
        <v>14</v>
      </c>
      <c r="B3" s="1">
        <f>(SUM('Raw Data'!C2:C13)-SUM('Raw Data'!B2:B13))/SUM('Raw Data'!B2:B13)</f>
        <v>-1.7971014492753623E-2</v>
      </c>
    </row>
    <row r="4" spans="1:10" ht="21" x14ac:dyDescent="0.35">
      <c r="A4" s="4" t="s">
        <v>15</v>
      </c>
      <c r="B4" s="1">
        <f>(SUM('Raw Data'!E2:E13)-SUM('Raw Data'!D2:D13))/SUM('Raw Data'!D2:D13)</f>
        <v>-8.5158150851581509E-3</v>
      </c>
    </row>
    <row r="5" spans="1:10" ht="21" x14ac:dyDescent="0.35">
      <c r="A5" s="4" t="s">
        <v>16</v>
      </c>
      <c r="B5" s="1">
        <f>(SUM('Raw Data'!G2:G13)-SUM('Raw Data'!F2:F13))/SUM('Raw Data'!F2:F13)</f>
        <v>-2.6578073089700997E-2</v>
      </c>
    </row>
  </sheetData>
  <sheetProtection algorithmName="SHA-512" hashValue="rdgoHJgek5AmLTvYualStvqciVZHwoko4XJ+kPfVK35M0bCYjYgob5ntV52bjnkarRAjRIrnlHkl4LjwSUIMNA==" saltValue="uvQFHTTvBmSPfJBE9kVtGA==" spinCount="100000" sheet="1" objects="1" scenarios="1"/>
  <mergeCells count="1">
    <mergeCell ref="B1:F1"/>
  </mergeCells>
  <conditionalFormatting sqref="B3:B5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B4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Footer>&amp;LPrepared by Jennika Thomas&amp;CVariance Dashboard (2025)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G13"/>
  <sheetViews>
    <sheetView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2" max="2" width="16.28515625" bestFit="1" customWidth="1"/>
    <col min="3" max="3" width="15.5703125" bestFit="1" customWidth="1"/>
    <col min="4" max="4" width="13.140625" bestFit="1" customWidth="1"/>
    <col min="5" max="5" width="11.7109375" bestFit="1" customWidth="1"/>
    <col min="6" max="6" width="14.140625" bestFit="1" customWidth="1"/>
    <col min="7" max="7" width="13.42578125" bestFit="1" customWidth="1"/>
  </cols>
  <sheetData>
    <row r="1" spans="1:7" x14ac:dyDescent="0.25">
      <c r="A1" s="6" t="s">
        <v>0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8" t="s">
        <v>22</v>
      </c>
    </row>
    <row r="2" spans="1:7" x14ac:dyDescent="0.25">
      <c r="A2" s="9" t="s">
        <v>1</v>
      </c>
      <c r="B2" s="5">
        <v>100000</v>
      </c>
      <c r="C2" s="5">
        <v>95000</v>
      </c>
      <c r="D2" s="5">
        <v>60000</v>
      </c>
      <c r="E2" s="5">
        <v>58000</v>
      </c>
      <c r="F2" s="5">
        <v>40000</v>
      </c>
      <c r="G2" s="10">
        <v>37000</v>
      </c>
    </row>
    <row r="3" spans="1:7" x14ac:dyDescent="0.25">
      <c r="A3" s="9" t="s">
        <v>2</v>
      </c>
      <c r="B3" s="5">
        <v>120000</v>
      </c>
      <c r="C3" s="5">
        <v>118000</v>
      </c>
      <c r="D3" s="5">
        <v>65000</v>
      </c>
      <c r="E3" s="5">
        <v>67000</v>
      </c>
      <c r="F3" s="5">
        <v>55000</v>
      </c>
      <c r="G3" s="10">
        <v>51000</v>
      </c>
    </row>
    <row r="4" spans="1:7" x14ac:dyDescent="0.25">
      <c r="A4" s="9" t="s">
        <v>3</v>
      </c>
      <c r="B4" s="5">
        <v>130000</v>
      </c>
      <c r="C4" s="5">
        <v>128000</v>
      </c>
      <c r="D4" s="5">
        <v>64000</v>
      </c>
      <c r="E4" s="5">
        <v>65000</v>
      </c>
      <c r="F4" s="5">
        <v>66000</v>
      </c>
      <c r="G4" s="10">
        <v>63000</v>
      </c>
    </row>
    <row r="5" spans="1:7" x14ac:dyDescent="0.25">
      <c r="A5" s="9" t="s">
        <v>4</v>
      </c>
      <c r="B5" s="5">
        <v>125000</v>
      </c>
      <c r="C5" s="5">
        <v>115000</v>
      </c>
      <c r="D5" s="5">
        <v>63000</v>
      </c>
      <c r="E5" s="5">
        <v>61000</v>
      </c>
      <c r="F5" s="5">
        <v>62000</v>
      </c>
      <c r="G5" s="10">
        <v>54000</v>
      </c>
    </row>
    <row r="6" spans="1:7" x14ac:dyDescent="0.25">
      <c r="A6" s="9" t="s">
        <v>5</v>
      </c>
      <c r="B6" s="5">
        <v>140000</v>
      </c>
      <c r="C6" s="5">
        <v>132000</v>
      </c>
      <c r="D6" s="5">
        <v>66000</v>
      </c>
      <c r="E6" s="5">
        <v>65000</v>
      </c>
      <c r="F6" s="5">
        <v>74000</v>
      </c>
      <c r="G6" s="10">
        <v>67000</v>
      </c>
    </row>
    <row r="7" spans="1:7" x14ac:dyDescent="0.25">
      <c r="A7" s="9" t="s">
        <v>6</v>
      </c>
      <c r="B7" s="5">
        <v>135000</v>
      </c>
      <c r="C7" s="5">
        <v>130000</v>
      </c>
      <c r="D7" s="5">
        <v>68000</v>
      </c>
      <c r="E7" s="5">
        <v>66000</v>
      </c>
      <c r="F7" s="5">
        <v>67000</v>
      </c>
      <c r="G7" s="10">
        <v>64000</v>
      </c>
    </row>
    <row r="8" spans="1:7" x14ac:dyDescent="0.25">
      <c r="A8" s="9" t="s">
        <v>7</v>
      </c>
      <c r="B8" s="5">
        <v>150000</v>
      </c>
      <c r="C8" s="5">
        <v>148000</v>
      </c>
      <c r="D8" s="5">
        <v>70000</v>
      </c>
      <c r="E8" s="5">
        <v>70500</v>
      </c>
      <c r="F8" s="5">
        <v>80000</v>
      </c>
      <c r="G8" s="10">
        <v>77500</v>
      </c>
    </row>
    <row r="9" spans="1:7" x14ac:dyDescent="0.25">
      <c r="A9" s="9" t="s">
        <v>8</v>
      </c>
      <c r="B9" s="5">
        <v>155000</v>
      </c>
      <c r="C9" s="5">
        <v>158000</v>
      </c>
      <c r="D9" s="5">
        <v>72000</v>
      </c>
      <c r="E9" s="5">
        <v>71000</v>
      </c>
      <c r="F9" s="5">
        <v>83000</v>
      </c>
      <c r="G9" s="10">
        <v>87000</v>
      </c>
    </row>
    <row r="10" spans="1:7" x14ac:dyDescent="0.25">
      <c r="A10" s="9" t="s">
        <v>9</v>
      </c>
      <c r="B10" s="5">
        <v>160000</v>
      </c>
      <c r="C10" s="5">
        <v>158000</v>
      </c>
      <c r="D10" s="5">
        <v>71000</v>
      </c>
      <c r="E10" s="5">
        <v>70000</v>
      </c>
      <c r="F10" s="5">
        <v>89000</v>
      </c>
      <c r="G10" s="10">
        <v>88000</v>
      </c>
    </row>
    <row r="11" spans="1:7" x14ac:dyDescent="0.25">
      <c r="A11" s="9" t="s">
        <v>10</v>
      </c>
      <c r="B11" s="5">
        <v>170000</v>
      </c>
      <c r="C11" s="5">
        <v>172000</v>
      </c>
      <c r="D11" s="5">
        <v>73000</v>
      </c>
      <c r="E11" s="5">
        <v>72500</v>
      </c>
      <c r="F11" s="5">
        <v>97000</v>
      </c>
      <c r="G11" s="10">
        <v>99500</v>
      </c>
    </row>
    <row r="12" spans="1:7" x14ac:dyDescent="0.25">
      <c r="A12" s="9" t="s">
        <v>11</v>
      </c>
      <c r="B12" s="5">
        <v>165000</v>
      </c>
      <c r="C12" s="5">
        <v>160000</v>
      </c>
      <c r="D12" s="5">
        <v>74000</v>
      </c>
      <c r="E12" s="5">
        <v>73500</v>
      </c>
      <c r="F12" s="5">
        <v>91000</v>
      </c>
      <c r="G12" s="10">
        <v>86500</v>
      </c>
    </row>
    <row r="13" spans="1:7" ht="15.75" thickBot="1" x14ac:dyDescent="0.3">
      <c r="A13" s="11" t="s">
        <v>12</v>
      </c>
      <c r="B13" s="12">
        <v>175000</v>
      </c>
      <c r="C13" s="12">
        <v>180000</v>
      </c>
      <c r="D13" s="12">
        <v>76000</v>
      </c>
      <c r="E13" s="12">
        <v>75500</v>
      </c>
      <c r="F13" s="12">
        <v>99000</v>
      </c>
      <c r="G13" s="13">
        <v>104500</v>
      </c>
    </row>
  </sheetData>
  <sheetProtection algorithmName="SHA-512" hashValue="v4ldsEdskaEBWBTwRtatONyMsYR2usntluNu1KBB6B/hCVRKYqTfPi9OfDAPVYkhURjJ8Jzx3pzzHTLmQ3WlUg==" saltValue="voXc8xhLMdnqI7l0j/SaBg==" spinCount="100000" sheet="1" objects="1" scenarios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G13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2" max="2" width="17.85546875" bestFit="1" customWidth="1"/>
    <col min="3" max="3" width="20.42578125" bestFit="1" customWidth="1"/>
    <col min="4" max="4" width="14.5703125" bestFit="1" customWidth="1"/>
    <col min="5" max="5" width="17.28515625" bestFit="1" customWidth="1"/>
    <col min="6" max="6" width="16.140625" bestFit="1" customWidth="1"/>
    <col min="7" max="7" width="18.85546875" bestFit="1" customWidth="1"/>
  </cols>
  <sheetData>
    <row r="1" spans="1:7" x14ac:dyDescent="0.25">
      <c r="A1" s="6" t="s">
        <v>0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8" t="s">
        <v>28</v>
      </c>
    </row>
    <row r="2" spans="1:7" x14ac:dyDescent="0.25">
      <c r="A2" s="9" t="s">
        <v>1</v>
      </c>
      <c r="B2" s="5">
        <f>'Raw Data'!C2-'Raw Data'!B2</f>
        <v>-5000</v>
      </c>
      <c r="C2" s="14">
        <f>IF('Raw Data'!B2=0,0,('Raw Data'!C2-'Raw Data'!B2)/'Raw Data'!B2)</f>
        <v>-0.05</v>
      </c>
      <c r="D2" s="5">
        <f>'Raw Data'!E2-'Raw Data'!D2</f>
        <v>-2000</v>
      </c>
      <c r="E2" s="14">
        <f>IF('Raw Data'!D2=0,0,('Raw Data'!E2-'Raw Data'!D2)/'Raw Data'!D2)</f>
        <v>-3.3333333333333333E-2</v>
      </c>
      <c r="F2" s="5">
        <f>'Raw Data'!G2-'Raw Data'!F2</f>
        <v>-3000</v>
      </c>
      <c r="G2" s="15">
        <f>IF('Raw Data'!F2=0,0,('Raw Data'!G2-'Raw Data'!F2)/'Raw Data'!F2)</f>
        <v>-7.4999999999999997E-2</v>
      </c>
    </row>
    <row r="3" spans="1:7" x14ac:dyDescent="0.25">
      <c r="A3" s="9" t="s">
        <v>2</v>
      </c>
      <c r="B3" s="5">
        <f>'Raw Data'!C3-'Raw Data'!B3</f>
        <v>-2000</v>
      </c>
      <c r="C3" s="14">
        <f>IF('Raw Data'!B3=0,0,('Raw Data'!C3-'Raw Data'!B3)/'Raw Data'!B3)</f>
        <v>-1.6666666666666666E-2</v>
      </c>
      <c r="D3" s="5">
        <f>'Raw Data'!E3-'Raw Data'!D3</f>
        <v>2000</v>
      </c>
      <c r="E3" s="14">
        <f>IF('Raw Data'!D3=0,0,('Raw Data'!E3-'Raw Data'!D3)/'Raw Data'!D3)</f>
        <v>3.0769230769230771E-2</v>
      </c>
      <c r="F3" s="5">
        <f>'Raw Data'!G3-'Raw Data'!F3</f>
        <v>-4000</v>
      </c>
      <c r="G3" s="15">
        <f>IF('Raw Data'!F3=0,0,('Raw Data'!G3-'Raw Data'!F3)/'Raw Data'!F3)</f>
        <v>-7.2727272727272724E-2</v>
      </c>
    </row>
    <row r="4" spans="1:7" x14ac:dyDescent="0.25">
      <c r="A4" s="9" t="s">
        <v>3</v>
      </c>
      <c r="B4" s="5">
        <f>'Raw Data'!C4-'Raw Data'!B4</f>
        <v>-2000</v>
      </c>
      <c r="C4" s="14">
        <f>IF('Raw Data'!B4=0,0,('Raw Data'!C4-'Raw Data'!B4)/'Raw Data'!B4)</f>
        <v>-1.5384615384615385E-2</v>
      </c>
      <c r="D4" s="5">
        <f>'Raw Data'!E4-'Raw Data'!D4</f>
        <v>1000</v>
      </c>
      <c r="E4" s="14">
        <f>IF('Raw Data'!D4=0,0,('Raw Data'!E4-'Raw Data'!D4)/'Raw Data'!D4)</f>
        <v>1.5625E-2</v>
      </c>
      <c r="F4" s="5">
        <f>'Raw Data'!G4-'Raw Data'!F4</f>
        <v>-3000</v>
      </c>
      <c r="G4" s="15">
        <f>IF('Raw Data'!F4=0,0,('Raw Data'!G4-'Raw Data'!F4)/'Raw Data'!F4)</f>
        <v>-4.5454545454545456E-2</v>
      </c>
    </row>
    <row r="5" spans="1:7" x14ac:dyDescent="0.25">
      <c r="A5" s="9" t="s">
        <v>4</v>
      </c>
      <c r="B5" s="5">
        <f>'Raw Data'!C5-'Raw Data'!B5</f>
        <v>-10000</v>
      </c>
      <c r="C5" s="14">
        <f>IF('Raw Data'!B5=0,0,('Raw Data'!C5-'Raw Data'!B5)/'Raw Data'!B5)</f>
        <v>-0.08</v>
      </c>
      <c r="D5" s="5">
        <f>'Raw Data'!E5-'Raw Data'!D5</f>
        <v>-2000</v>
      </c>
      <c r="E5" s="14">
        <f>IF('Raw Data'!D5=0,0,('Raw Data'!E5-'Raw Data'!D5)/'Raw Data'!D5)</f>
        <v>-3.1746031746031744E-2</v>
      </c>
      <c r="F5" s="5">
        <f>'Raw Data'!G5-'Raw Data'!F5</f>
        <v>-8000</v>
      </c>
      <c r="G5" s="15">
        <f>IF('Raw Data'!F5=0,0,('Raw Data'!G5-'Raw Data'!F5)/'Raw Data'!F5)</f>
        <v>-0.12903225806451613</v>
      </c>
    </row>
    <row r="6" spans="1:7" x14ac:dyDescent="0.25">
      <c r="A6" s="9" t="s">
        <v>5</v>
      </c>
      <c r="B6" s="5">
        <f>'Raw Data'!C6-'Raw Data'!B6</f>
        <v>-8000</v>
      </c>
      <c r="C6" s="14">
        <f>IF('Raw Data'!B6=0,0,('Raw Data'!C6-'Raw Data'!B6)/'Raw Data'!B6)</f>
        <v>-5.7142857142857141E-2</v>
      </c>
      <c r="D6" s="5">
        <f>'Raw Data'!E6-'Raw Data'!D6</f>
        <v>-1000</v>
      </c>
      <c r="E6" s="14">
        <f>IF('Raw Data'!D6=0,0,('Raw Data'!E6-'Raw Data'!D6)/'Raw Data'!D6)</f>
        <v>-1.5151515151515152E-2</v>
      </c>
      <c r="F6" s="5">
        <f>'Raw Data'!G6-'Raw Data'!F6</f>
        <v>-7000</v>
      </c>
      <c r="G6" s="15">
        <f>IF('Raw Data'!F6=0,0,('Raw Data'!G6-'Raw Data'!F6)/'Raw Data'!F6)</f>
        <v>-9.45945945945946E-2</v>
      </c>
    </row>
    <row r="7" spans="1:7" x14ac:dyDescent="0.25">
      <c r="A7" s="9" t="s">
        <v>6</v>
      </c>
      <c r="B7" s="5">
        <f>'Raw Data'!C7-'Raw Data'!B7</f>
        <v>-5000</v>
      </c>
      <c r="C7" s="14">
        <f>IF('Raw Data'!B7=0,0,('Raw Data'!C7-'Raw Data'!B7)/'Raw Data'!B7)</f>
        <v>-3.7037037037037035E-2</v>
      </c>
      <c r="D7" s="5">
        <f>'Raw Data'!E7-'Raw Data'!D7</f>
        <v>-2000</v>
      </c>
      <c r="E7" s="14">
        <f>IF('Raw Data'!D7=0,0,('Raw Data'!E7-'Raw Data'!D7)/'Raw Data'!D7)</f>
        <v>-2.9411764705882353E-2</v>
      </c>
      <c r="F7" s="5">
        <f>'Raw Data'!G7-'Raw Data'!F7</f>
        <v>-3000</v>
      </c>
      <c r="G7" s="15">
        <f>IF('Raw Data'!F7=0,0,('Raw Data'!G7-'Raw Data'!F7)/'Raw Data'!F7)</f>
        <v>-4.4776119402985072E-2</v>
      </c>
    </row>
    <row r="8" spans="1:7" x14ac:dyDescent="0.25">
      <c r="A8" s="9" t="s">
        <v>7</v>
      </c>
      <c r="B8" s="5">
        <f>'Raw Data'!C8-'Raw Data'!B8</f>
        <v>-2000</v>
      </c>
      <c r="C8" s="14">
        <f>IF('Raw Data'!B8=0,0,('Raw Data'!C8-'Raw Data'!B8)/'Raw Data'!B8)</f>
        <v>-1.3333333333333334E-2</v>
      </c>
      <c r="D8" s="5">
        <f>'Raw Data'!E8-'Raw Data'!D8</f>
        <v>500</v>
      </c>
      <c r="E8" s="14">
        <f>IF('Raw Data'!D8=0,0,('Raw Data'!E8-'Raw Data'!D8)/'Raw Data'!D8)</f>
        <v>7.1428571428571426E-3</v>
      </c>
      <c r="F8" s="5">
        <f>'Raw Data'!G8-'Raw Data'!F8</f>
        <v>-2500</v>
      </c>
      <c r="G8" s="15">
        <f>IF('Raw Data'!F8=0,0,('Raw Data'!G8-'Raw Data'!F8)/'Raw Data'!F8)</f>
        <v>-3.125E-2</v>
      </c>
    </row>
    <row r="9" spans="1:7" x14ac:dyDescent="0.25">
      <c r="A9" s="9" t="s">
        <v>8</v>
      </c>
      <c r="B9" s="5">
        <f>'Raw Data'!C9-'Raw Data'!B9</f>
        <v>3000</v>
      </c>
      <c r="C9" s="14">
        <f>IF('Raw Data'!B9=0,0,('Raw Data'!C9-'Raw Data'!B9)/'Raw Data'!B9)</f>
        <v>1.935483870967742E-2</v>
      </c>
      <c r="D9" s="5">
        <f>'Raw Data'!E9-'Raw Data'!D9</f>
        <v>-1000</v>
      </c>
      <c r="E9" s="14">
        <f>IF('Raw Data'!D9=0,0,('Raw Data'!E9-'Raw Data'!D9)/'Raw Data'!D9)</f>
        <v>-1.3888888888888888E-2</v>
      </c>
      <c r="F9" s="5">
        <f>'Raw Data'!G9-'Raw Data'!F9</f>
        <v>4000</v>
      </c>
      <c r="G9" s="15">
        <f>IF('Raw Data'!F9=0,0,('Raw Data'!G9-'Raw Data'!F9)/'Raw Data'!F9)</f>
        <v>4.8192771084337352E-2</v>
      </c>
    </row>
    <row r="10" spans="1:7" x14ac:dyDescent="0.25">
      <c r="A10" s="9" t="s">
        <v>9</v>
      </c>
      <c r="B10" s="5">
        <f>'Raw Data'!C10-'Raw Data'!B10</f>
        <v>-2000</v>
      </c>
      <c r="C10" s="14">
        <f>IF('Raw Data'!B10=0,0,('Raw Data'!C10-'Raw Data'!B10)/'Raw Data'!B10)</f>
        <v>-1.2500000000000001E-2</v>
      </c>
      <c r="D10" s="5">
        <f>'Raw Data'!E10-'Raw Data'!D10</f>
        <v>-1000</v>
      </c>
      <c r="E10" s="14">
        <f>IF('Raw Data'!D10=0,0,('Raw Data'!E10-'Raw Data'!D10)/'Raw Data'!D10)</f>
        <v>-1.4084507042253521E-2</v>
      </c>
      <c r="F10" s="5">
        <f>'Raw Data'!G10-'Raw Data'!F10</f>
        <v>-1000</v>
      </c>
      <c r="G10" s="15">
        <f>IF('Raw Data'!F10=0,0,('Raw Data'!G10-'Raw Data'!F10)/'Raw Data'!F10)</f>
        <v>-1.1235955056179775E-2</v>
      </c>
    </row>
    <row r="11" spans="1:7" x14ac:dyDescent="0.25">
      <c r="A11" s="9" t="s">
        <v>10</v>
      </c>
      <c r="B11" s="5">
        <f>'Raw Data'!C11-'Raw Data'!B11</f>
        <v>2000</v>
      </c>
      <c r="C11" s="14">
        <f>IF('Raw Data'!B11=0,0,('Raw Data'!C11-'Raw Data'!B11)/'Raw Data'!B11)</f>
        <v>1.1764705882352941E-2</v>
      </c>
      <c r="D11" s="5">
        <f>'Raw Data'!E11-'Raw Data'!D11</f>
        <v>-500</v>
      </c>
      <c r="E11" s="14">
        <f>IF('Raw Data'!D11=0,0,('Raw Data'!E11-'Raw Data'!D11)/'Raw Data'!D11)</f>
        <v>-6.8493150684931503E-3</v>
      </c>
      <c r="F11" s="5">
        <f>'Raw Data'!G11-'Raw Data'!F11</f>
        <v>2500</v>
      </c>
      <c r="G11" s="15">
        <f>IF('Raw Data'!F11=0,0,('Raw Data'!G11-'Raw Data'!F11)/'Raw Data'!F11)</f>
        <v>2.5773195876288658E-2</v>
      </c>
    </row>
    <row r="12" spans="1:7" x14ac:dyDescent="0.25">
      <c r="A12" s="9" t="s">
        <v>11</v>
      </c>
      <c r="B12" s="5">
        <f>'Raw Data'!C12-'Raw Data'!B12</f>
        <v>-5000</v>
      </c>
      <c r="C12" s="14">
        <f>IF('Raw Data'!B12=0,0,('Raw Data'!C12-'Raw Data'!B12)/'Raw Data'!B12)</f>
        <v>-3.0303030303030304E-2</v>
      </c>
      <c r="D12" s="5">
        <f>'Raw Data'!E12-'Raw Data'!D12</f>
        <v>-500</v>
      </c>
      <c r="E12" s="14">
        <f>IF('Raw Data'!D12=0,0,('Raw Data'!E12-'Raw Data'!D12)/'Raw Data'!D12)</f>
        <v>-6.7567567567567571E-3</v>
      </c>
      <c r="F12" s="5">
        <f>'Raw Data'!G12-'Raw Data'!F12</f>
        <v>-4500</v>
      </c>
      <c r="G12" s="15">
        <f>IF('Raw Data'!F12=0,0,('Raw Data'!G12-'Raw Data'!F12)/'Raw Data'!F12)</f>
        <v>-4.9450549450549448E-2</v>
      </c>
    </row>
    <row r="13" spans="1:7" ht="15.75" thickBot="1" x14ac:dyDescent="0.3">
      <c r="A13" s="11" t="s">
        <v>12</v>
      </c>
      <c r="B13" s="12">
        <f>'Raw Data'!C13-'Raw Data'!B13</f>
        <v>5000</v>
      </c>
      <c r="C13" s="16">
        <f>IF('Raw Data'!B13=0,0,('Raw Data'!C13-'Raw Data'!B13)/'Raw Data'!B13)</f>
        <v>2.8571428571428571E-2</v>
      </c>
      <c r="D13" s="12">
        <f>'Raw Data'!E13-'Raw Data'!D13</f>
        <v>-500</v>
      </c>
      <c r="E13" s="16">
        <f>IF('Raw Data'!D13=0,0,('Raw Data'!E13-'Raw Data'!D13)/'Raw Data'!D13)</f>
        <v>-6.5789473684210523E-3</v>
      </c>
      <c r="F13" s="12">
        <f>'Raw Data'!G13-'Raw Data'!F13</f>
        <v>5500</v>
      </c>
      <c r="G13" s="17">
        <f>IF('Raw Data'!F13=0,0,('Raw Data'!G13-'Raw Data'!F13)/'Raw Data'!F13)</f>
        <v>5.5555555555555552E-2</v>
      </c>
    </row>
  </sheetData>
  <sheetProtection algorithmName="SHA-512" hashValue="vtAE1D+k3F8NmDxwGpf55zU+9kfZGLWhoR6c3nvZfkUxzsiKVQbyoR/2Pstn5t5JGQIQRear0c0d24rsrQpz9g==" saltValue="BW93AJAP4Zyrmnzs7DpWBA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Raw Data</vt:lpstr>
      <vt:lpstr>Calculations</vt:lpstr>
      <vt:lpstr>Dashboard!Print_Area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Jennika Thomas</dc:creator>
  <cp:lastModifiedBy>Thomas</cp:lastModifiedBy>
  <cp:lastPrinted>2025-11-04T20:33:37Z</cp:lastPrinted>
  <dcterms:created xsi:type="dcterms:W3CDTF">2025-11-04T17:32:27Z</dcterms:created>
  <dcterms:modified xsi:type="dcterms:W3CDTF">2025-11-05T12:12:34Z</dcterms:modified>
</cp:coreProperties>
</file>